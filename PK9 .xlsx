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 A" sheetId="1" r:id="rId5"/>
    <sheet state="visible" name="Nur C" sheetId="2" r:id="rId6"/>
    <sheet state="visible" name="1A" sheetId="3" r:id="rId7"/>
    <sheet state="visible" name="1B" sheetId="4" r:id="rId8"/>
    <sheet state="visible" name="2B" sheetId="5" r:id="rId9"/>
    <sheet state="visible" name="2C" sheetId="6" r:id="rId10"/>
    <sheet state="visible" name="3A" sheetId="7" r:id="rId11"/>
    <sheet state="visible" name="4A" sheetId="8" r:id="rId12"/>
    <sheet state="visible" name="4B" sheetId="9" r:id="rId13"/>
    <sheet state="visible" name="5A" sheetId="10" r:id="rId14"/>
    <sheet state="visible" name="Seven " sheetId="11" r:id="rId15"/>
  </sheets>
  <definedNames/>
  <calcPr/>
</workbook>
</file>

<file path=xl/sharedStrings.xml><?xml version="1.0" encoding="utf-8"?>
<sst xmlns="http://schemas.openxmlformats.org/spreadsheetml/2006/main" count="1534" uniqueCount="676">
  <si>
    <t>PK9</t>
  </si>
  <si>
    <t>Marks in Subjects</t>
  </si>
  <si>
    <t>S.No</t>
  </si>
  <si>
    <t>Student Name</t>
  </si>
  <si>
    <t>Father Name</t>
  </si>
  <si>
    <t>Student ID</t>
  </si>
  <si>
    <t>English 
(20)</t>
  </si>
  <si>
    <t>Urdu
(20)</t>
  </si>
  <si>
    <t>Math
(20)</t>
  </si>
  <si>
    <t>English 
(10)</t>
  </si>
  <si>
    <t>Urdu (10)</t>
  </si>
  <si>
    <t>Math(10)</t>
  </si>
  <si>
    <t>Urdu (15)</t>
  </si>
  <si>
    <t>Math(20)</t>
  </si>
  <si>
    <t>English (50)</t>
  </si>
  <si>
    <t>Urdu(50)</t>
  </si>
  <si>
    <t>Math(50)</t>
  </si>
  <si>
    <t>G.K 20</t>
  </si>
  <si>
    <t xml:space="preserve">English </t>
  </si>
  <si>
    <t>Urdu</t>
  </si>
  <si>
    <t>Math</t>
  </si>
  <si>
    <t>G. Science</t>
  </si>
  <si>
    <t>EPL</t>
  </si>
  <si>
    <t>Sonsorial</t>
  </si>
  <si>
    <t>English 
10</t>
  </si>
  <si>
    <t>Urdu
10</t>
  </si>
  <si>
    <t>Math 
10</t>
  </si>
  <si>
    <t>G. Science
10</t>
  </si>
  <si>
    <t>E.P.L
10</t>
  </si>
  <si>
    <t>Sensorial
10</t>
  </si>
  <si>
    <t xml:space="preserve">Ajwa Noor </t>
  </si>
  <si>
    <t>Abdul Nafeez</t>
  </si>
  <si>
    <t>A</t>
  </si>
  <si>
    <t>sidra tul muntaha</t>
  </si>
  <si>
    <t xml:space="preserve">Nazeer Hussain </t>
  </si>
  <si>
    <t xml:space="preserve">Khadija </t>
  </si>
  <si>
    <t>Muhammad Iqbal</t>
  </si>
  <si>
    <t xml:space="preserve">Mahnoor Fatima </t>
  </si>
  <si>
    <t>Hassan Iqsar</t>
  </si>
  <si>
    <t xml:space="preserve">Noor Fatima </t>
  </si>
  <si>
    <t>Muhammad ishtiaq</t>
  </si>
  <si>
    <t>Riffat Naz</t>
  </si>
  <si>
    <t xml:space="preserve">Muhammad saifullah </t>
  </si>
  <si>
    <t>Fiza Noor</t>
  </si>
  <si>
    <t xml:space="preserve">Sajid Muhammad </t>
  </si>
  <si>
    <t>Ayesha Amjad</t>
  </si>
  <si>
    <t>Amjid Rafeed</t>
  </si>
  <si>
    <t xml:space="preserve">Abdul Rahman </t>
  </si>
  <si>
    <t>Gulam Abbas</t>
  </si>
  <si>
    <t>A.</t>
  </si>
  <si>
    <t>Ahmed Ali</t>
  </si>
  <si>
    <t>Muhammad Yousaf</t>
  </si>
  <si>
    <t>Ameen ullah</t>
  </si>
  <si>
    <t xml:space="preserve">Nazar Gul </t>
  </si>
  <si>
    <t>Azan</t>
  </si>
  <si>
    <t>Abdul Hafeez</t>
  </si>
  <si>
    <t>Hammad Azam</t>
  </si>
  <si>
    <t>M.Azam</t>
  </si>
  <si>
    <t>Musa Ahmed</t>
  </si>
  <si>
    <t xml:space="preserve">Ahmed </t>
  </si>
  <si>
    <t>Zabi ullah</t>
  </si>
  <si>
    <t>Nazar Gull</t>
  </si>
  <si>
    <t xml:space="preserve">Abdullah </t>
  </si>
  <si>
    <t>Sajid Mehmood</t>
  </si>
  <si>
    <t>Shayan Ali</t>
  </si>
  <si>
    <t>Shahid Zafar</t>
  </si>
  <si>
    <t>M.Afzal</t>
  </si>
  <si>
    <t>M.Turab</t>
  </si>
  <si>
    <t xml:space="preserve">Muhammad </t>
  </si>
  <si>
    <t>Shah Faisal</t>
  </si>
  <si>
    <t>Walija</t>
  </si>
  <si>
    <t>Sahab Gull</t>
  </si>
  <si>
    <t>Habiba</t>
  </si>
  <si>
    <t xml:space="preserve">Bawar khan </t>
  </si>
  <si>
    <t xml:space="preserve">Warisha </t>
  </si>
  <si>
    <t>Walait shah</t>
  </si>
  <si>
    <t>Najma</t>
  </si>
  <si>
    <t>Sulman khan</t>
  </si>
  <si>
    <t>Imran Khan</t>
  </si>
  <si>
    <t>Muhammad Sufyan</t>
  </si>
  <si>
    <t>Muhammad Roman Khan</t>
  </si>
  <si>
    <t>Warisha Bibi</t>
  </si>
  <si>
    <t>Sadia Imran</t>
  </si>
  <si>
    <t>Malaika Bibi</t>
  </si>
  <si>
    <t>Laila Bibi</t>
  </si>
  <si>
    <t>Total marks</t>
  </si>
  <si>
    <t xml:space="preserve">Average </t>
  </si>
  <si>
    <t>Total No of students</t>
  </si>
  <si>
    <t>Total No of Passed students</t>
  </si>
  <si>
    <t>Total No of Failed students</t>
  </si>
  <si>
    <t>Total Appear Student</t>
  </si>
  <si>
    <t xml:space="preserve">   PK9</t>
  </si>
  <si>
    <t>Urdu (20)</t>
  </si>
  <si>
    <t>English (30)</t>
  </si>
  <si>
    <t>Urdu(30)</t>
  </si>
  <si>
    <t>Math(30)</t>
  </si>
  <si>
    <t>Muhammad Talha</t>
  </si>
  <si>
    <t>Abid wali</t>
  </si>
  <si>
    <t>Muhammad Musa</t>
  </si>
  <si>
    <t xml:space="preserve">sadam Hussain </t>
  </si>
  <si>
    <t>Hammad Aftab</t>
  </si>
  <si>
    <t>Aftab Iqbal</t>
  </si>
  <si>
    <t>Aroosh Rani</t>
  </si>
  <si>
    <t>Haqnawaz</t>
  </si>
  <si>
    <t>Shazama</t>
  </si>
  <si>
    <t>Muhammad shazad</t>
  </si>
  <si>
    <t>Ayesha</t>
  </si>
  <si>
    <t>Muhammad nabi</t>
  </si>
  <si>
    <t>Fatima bibi</t>
  </si>
  <si>
    <t>Faqeer shah</t>
  </si>
  <si>
    <t>Zainab bibi</t>
  </si>
  <si>
    <t>Zarhoon</t>
  </si>
  <si>
    <t>sunelha</t>
  </si>
  <si>
    <t xml:space="preserve">Kamran </t>
  </si>
  <si>
    <t>Balqees bibi</t>
  </si>
  <si>
    <t xml:space="preserve">Balqees </t>
  </si>
  <si>
    <t xml:space="preserve">Rani yasir </t>
  </si>
  <si>
    <t>Yasir</t>
  </si>
  <si>
    <t xml:space="preserve">Salma </t>
  </si>
  <si>
    <t>Mashoom Khan</t>
  </si>
  <si>
    <t>Haleema Khan</t>
  </si>
  <si>
    <t>Sana</t>
  </si>
  <si>
    <t>Gani khan</t>
  </si>
  <si>
    <t xml:space="preserve">Hammad </t>
  </si>
  <si>
    <t>Akber khan</t>
  </si>
  <si>
    <t>Shah Wali</t>
  </si>
  <si>
    <t>Aliyan Sagheer</t>
  </si>
  <si>
    <t>New</t>
  </si>
  <si>
    <t xml:space="preserve">M Huzaifa </t>
  </si>
  <si>
    <t xml:space="preserve">M Tayyab </t>
  </si>
  <si>
    <t xml:space="preserve">Sania Noor </t>
  </si>
  <si>
    <t>Tanzeela Bibi</t>
  </si>
  <si>
    <t>Ruqia Bibi</t>
  </si>
  <si>
    <t>Shayan Haider</t>
  </si>
  <si>
    <t>M Mahaz</t>
  </si>
  <si>
    <t>new</t>
  </si>
  <si>
    <t xml:space="preserve">Kaneez Fatima </t>
  </si>
  <si>
    <t>Areeba Shabir</t>
  </si>
  <si>
    <t>Jalal Khan</t>
  </si>
  <si>
    <t>Ghafran Ali</t>
  </si>
  <si>
    <t>-</t>
  </si>
  <si>
    <t>English 
(15</t>
  </si>
  <si>
    <t>Urdu
(15)</t>
  </si>
  <si>
    <t>Math
(15</t>
  </si>
  <si>
    <t>GK 15</t>
  </si>
  <si>
    <t>English 
(15)</t>
  </si>
  <si>
    <t>Math(15)</t>
  </si>
  <si>
    <t>G K(10)</t>
  </si>
  <si>
    <t>English (40)</t>
  </si>
  <si>
    <t>Urdu(40)</t>
  </si>
  <si>
    <t>Math(40)</t>
  </si>
  <si>
    <t>G.K(20)</t>
  </si>
  <si>
    <t xml:space="preserve">Abdul Gafoor </t>
  </si>
  <si>
    <t>M,Turab</t>
  </si>
  <si>
    <t>Ali Khan</t>
  </si>
  <si>
    <t xml:space="preserve">Habib ullah </t>
  </si>
  <si>
    <t>Ismail Khan</t>
  </si>
  <si>
    <t>Naeem khan</t>
  </si>
  <si>
    <t>M.Husnain</t>
  </si>
  <si>
    <t xml:space="preserve">M Zahid </t>
  </si>
  <si>
    <t>Rehman Khan</t>
  </si>
  <si>
    <t xml:space="preserve">Abdul Rehman </t>
  </si>
  <si>
    <t>Usama</t>
  </si>
  <si>
    <t xml:space="preserve">Khair ullah </t>
  </si>
  <si>
    <t>Sulman Ibrar</t>
  </si>
  <si>
    <t>m Ibrar</t>
  </si>
  <si>
    <t xml:space="preserve">Shah Faisal </t>
  </si>
  <si>
    <t>M.Anas</t>
  </si>
  <si>
    <t xml:space="preserve">Amir Latif </t>
  </si>
  <si>
    <t>Anaya</t>
  </si>
  <si>
    <t>Ayaz maher</t>
  </si>
  <si>
    <t xml:space="preserve">Haniya Shaheen </t>
  </si>
  <si>
    <t>Jawaid Iqbal</t>
  </si>
  <si>
    <t>Malala Khan</t>
  </si>
  <si>
    <t>Painda iqbal</t>
  </si>
  <si>
    <t xml:space="preserve">Mariya </t>
  </si>
  <si>
    <t xml:space="preserve">Khalil u Rehman </t>
  </si>
  <si>
    <t>Sadia bibi</t>
  </si>
  <si>
    <t xml:space="preserve">Shagufta </t>
  </si>
  <si>
    <t xml:space="preserve">M Turab </t>
  </si>
  <si>
    <t xml:space="preserve">Adam Khan </t>
  </si>
  <si>
    <t xml:space="preserve">Azid Khan </t>
  </si>
  <si>
    <t xml:space="preserve">Adil Khan </t>
  </si>
  <si>
    <t>Nazar gul</t>
  </si>
  <si>
    <t xml:space="preserve">Ejaz Khan </t>
  </si>
  <si>
    <t xml:space="preserve">Shams Ur Rehman </t>
  </si>
  <si>
    <t>Jamal Khan</t>
  </si>
  <si>
    <t xml:space="preserve">Pervez </t>
  </si>
  <si>
    <t>Muhammad Saram</t>
  </si>
  <si>
    <t xml:space="preserve">Khair ul Bashir </t>
  </si>
  <si>
    <t>Muhammad Jameel</t>
  </si>
  <si>
    <t xml:space="preserve">Naveed Akhtar </t>
  </si>
  <si>
    <t>Muhammad Ali</t>
  </si>
  <si>
    <t>Muneer gul</t>
  </si>
  <si>
    <t xml:space="preserve">Jabran malik </t>
  </si>
  <si>
    <t>Ajwa Noor</t>
  </si>
  <si>
    <t xml:space="preserve">Awais </t>
  </si>
  <si>
    <t xml:space="preserve">Laiba Amjad </t>
  </si>
  <si>
    <t xml:space="preserve">Amjad </t>
  </si>
  <si>
    <t xml:space="preserve">Nimra Bibi </t>
  </si>
  <si>
    <t xml:space="preserve">wali Muhammad </t>
  </si>
  <si>
    <t xml:space="preserve">Sanam Bibi </t>
  </si>
  <si>
    <t>Iqbal gul</t>
  </si>
  <si>
    <t xml:space="preserve">Shafa Bibi </t>
  </si>
  <si>
    <t xml:space="preserve">Muneer gul </t>
  </si>
  <si>
    <t xml:space="preserve">Sidra Bibi </t>
  </si>
  <si>
    <t xml:space="preserve">Atta ul Rehman </t>
  </si>
  <si>
    <t xml:space="preserve">Sonia Bibi </t>
  </si>
  <si>
    <t>Abrar</t>
  </si>
  <si>
    <t xml:space="preserve">Syeda Zahra </t>
  </si>
  <si>
    <t xml:space="preserve">Shahbaz </t>
  </si>
  <si>
    <t xml:space="preserve">Nadeem khan </t>
  </si>
  <si>
    <t>Hasan iqrar</t>
  </si>
  <si>
    <t>M Asim ul Haq</t>
  </si>
  <si>
    <t>Muhammad Haris</t>
  </si>
  <si>
    <t>Syed Ibrahim Shah</t>
  </si>
  <si>
    <t xml:space="preserve">New </t>
  </si>
  <si>
    <t>Javeria Bibi</t>
  </si>
  <si>
    <t>Momna Umer</t>
  </si>
  <si>
    <t>Urooj Imran</t>
  </si>
  <si>
    <t>Kainat Imran</t>
  </si>
  <si>
    <t>Bakht Bibi</t>
  </si>
  <si>
    <t xml:space="preserve">Nazish </t>
  </si>
  <si>
    <t>Ayesha Bibi</t>
  </si>
  <si>
    <t xml:space="preserve">December </t>
  </si>
  <si>
    <t>GK20</t>
  </si>
  <si>
    <t>G K(15)</t>
  </si>
  <si>
    <t>English (15)</t>
  </si>
  <si>
    <t>Urdu(15)</t>
  </si>
  <si>
    <t>G.K(15)</t>
  </si>
  <si>
    <t>English 40</t>
  </si>
  <si>
    <t>Urdu 40</t>
  </si>
  <si>
    <t>Math 40</t>
  </si>
  <si>
    <t>G. k 40</t>
  </si>
  <si>
    <t xml:space="preserve">Anzala Khan </t>
  </si>
  <si>
    <t>Muheeb gul</t>
  </si>
  <si>
    <t xml:space="preserve">Aziz ullah </t>
  </si>
  <si>
    <t>Qayoum</t>
  </si>
  <si>
    <t xml:space="preserve">Muhammad Tariq </t>
  </si>
  <si>
    <t>M.nabi</t>
  </si>
  <si>
    <t xml:space="preserve">Muhammad Shahid </t>
  </si>
  <si>
    <t xml:space="preserve">Zubair </t>
  </si>
  <si>
    <t>Muhammad Tayyab</t>
  </si>
  <si>
    <t xml:space="preserve">Muhammad Hassan </t>
  </si>
  <si>
    <t xml:space="preserve">gul Rehman </t>
  </si>
  <si>
    <t xml:space="preserve">Muhammad Okasha </t>
  </si>
  <si>
    <t>Noorain shah</t>
  </si>
  <si>
    <t xml:space="preserve">Raja Rayan </t>
  </si>
  <si>
    <t>Raja zarban</t>
  </si>
  <si>
    <t xml:space="preserve">Malaika Bibi </t>
  </si>
  <si>
    <t>Hameed</t>
  </si>
  <si>
    <t xml:space="preserve">Maryam Bibi </t>
  </si>
  <si>
    <t>Maryam kalsoom</t>
  </si>
  <si>
    <t xml:space="preserve">Imran khan </t>
  </si>
  <si>
    <t xml:space="preserve">Mehnoor Bibi </t>
  </si>
  <si>
    <t>Gul seed</t>
  </si>
  <si>
    <t xml:space="preserve">Sara gul </t>
  </si>
  <si>
    <t xml:space="preserve">Gul rehman </t>
  </si>
  <si>
    <t xml:space="preserve">Wajiha Bibi </t>
  </si>
  <si>
    <t xml:space="preserve">awal gul </t>
  </si>
  <si>
    <t xml:space="preserve">Esha Bibi </t>
  </si>
  <si>
    <t>Shabeer ahmed</t>
  </si>
  <si>
    <t xml:space="preserve">Zaryab Ali </t>
  </si>
  <si>
    <t>Ghulam Adrees</t>
  </si>
  <si>
    <t>Abeeha jaferi</t>
  </si>
  <si>
    <t xml:space="preserve">Jafer Hussain </t>
  </si>
  <si>
    <t xml:space="preserve">Ainy jaferi </t>
  </si>
  <si>
    <t xml:space="preserve">Marwa Bibi </t>
  </si>
  <si>
    <t xml:space="preserve">Akber Khan </t>
  </si>
  <si>
    <t>Aqsa Noor</t>
  </si>
  <si>
    <t>M tufail</t>
  </si>
  <si>
    <t xml:space="preserve">Maryam </t>
  </si>
  <si>
    <t>Ahmed raza</t>
  </si>
  <si>
    <t xml:space="preserve">Hasnain Ali </t>
  </si>
  <si>
    <t>M Sudais</t>
  </si>
  <si>
    <t>M Essa Saeed</t>
  </si>
  <si>
    <t xml:space="preserve">M Saim </t>
  </si>
  <si>
    <t>Muqadas Rehman</t>
  </si>
  <si>
    <t>Shafa Bibi</t>
  </si>
  <si>
    <t>Zulqarnain Haider</t>
  </si>
  <si>
    <t>Anum Khan Afridi</t>
  </si>
  <si>
    <t>Marks in subject</t>
  </si>
  <si>
    <t>English 
(20</t>
  </si>
  <si>
    <t xml:space="preserve">Urdu
(20 </t>
  </si>
  <si>
    <t>Math
(20</t>
  </si>
  <si>
    <t>GK 20</t>
  </si>
  <si>
    <t>English 
15</t>
  </si>
  <si>
    <t>Urdu
15</t>
  </si>
  <si>
    <t>Math 
15</t>
  </si>
  <si>
    <t xml:space="preserve">Math 50 </t>
  </si>
  <si>
    <t>English 50</t>
  </si>
  <si>
    <t>Urdu 50</t>
  </si>
  <si>
    <t>GK 50</t>
  </si>
  <si>
    <t xml:space="preserve">Abdul Faris </t>
  </si>
  <si>
    <t xml:space="preserve">Fahad </t>
  </si>
  <si>
    <t xml:space="preserve">Amir Khan </t>
  </si>
  <si>
    <t xml:space="preserve">suleman </t>
  </si>
  <si>
    <t xml:space="preserve">M Haris </t>
  </si>
  <si>
    <t xml:space="preserve">amir </t>
  </si>
  <si>
    <t xml:space="preserve">Umar Rehman </t>
  </si>
  <si>
    <t xml:space="preserve">Atta u Rehman </t>
  </si>
  <si>
    <t xml:space="preserve">abrish </t>
  </si>
  <si>
    <t>Abdul manana</t>
  </si>
  <si>
    <t>D</t>
  </si>
  <si>
    <t xml:space="preserve">ajwa </t>
  </si>
  <si>
    <t>Aleeza</t>
  </si>
  <si>
    <t>imran</t>
  </si>
  <si>
    <t xml:space="preserve">Asma </t>
  </si>
  <si>
    <t>Sardar khan</t>
  </si>
  <si>
    <t>hurain</t>
  </si>
  <si>
    <t>shahbaz</t>
  </si>
  <si>
    <t>laraib</t>
  </si>
  <si>
    <t>Umar khan</t>
  </si>
  <si>
    <t>samia</t>
  </si>
  <si>
    <t>m azim</t>
  </si>
  <si>
    <t>sidra</t>
  </si>
  <si>
    <t>Habib ullah</t>
  </si>
  <si>
    <t>umaiman</t>
  </si>
  <si>
    <t>Khalil u Rehman</t>
  </si>
  <si>
    <t>Alishba</t>
  </si>
  <si>
    <t xml:space="preserve">Syed anayat Rehman </t>
  </si>
  <si>
    <t>Fozia bibi</t>
  </si>
  <si>
    <t>Faqeer Rehman</t>
  </si>
  <si>
    <t>Fozia Naheem</t>
  </si>
  <si>
    <t>Naheem Khan</t>
  </si>
  <si>
    <t>Javeria Rani</t>
  </si>
  <si>
    <t>Naveed Akhter</t>
  </si>
  <si>
    <t>Maria bibi</t>
  </si>
  <si>
    <t>M. Wali</t>
  </si>
  <si>
    <t>Muqdas bibi</t>
  </si>
  <si>
    <t>M Sajid</t>
  </si>
  <si>
    <t>Noor Fatima</t>
  </si>
  <si>
    <t xml:space="preserve"> Sajid mehmood</t>
  </si>
  <si>
    <t>Ulfat Naz</t>
  </si>
  <si>
    <t xml:space="preserve">Saifullah </t>
  </si>
  <si>
    <t>Arzoo bibi</t>
  </si>
  <si>
    <t>Shahid</t>
  </si>
  <si>
    <t>M Faraz Ali</t>
  </si>
  <si>
    <t>Tahir</t>
  </si>
  <si>
    <t xml:space="preserve"> M huzair</t>
  </si>
  <si>
    <t>Baber Khan</t>
  </si>
  <si>
    <t>Subhan Ibrahim</t>
  </si>
  <si>
    <t>Shahid Azad</t>
  </si>
  <si>
    <t>Abdullah</t>
  </si>
  <si>
    <t xml:space="preserve">Auranzaib </t>
  </si>
  <si>
    <t xml:space="preserve">Muhammad Hamid </t>
  </si>
  <si>
    <t>Javaid Iqbal</t>
  </si>
  <si>
    <t xml:space="preserve">Amna </t>
  </si>
  <si>
    <t>Bilal Khan</t>
  </si>
  <si>
    <t>Zarwa Emaan</t>
  </si>
  <si>
    <t>M Umer</t>
  </si>
  <si>
    <t xml:space="preserve">Absent </t>
  </si>
  <si>
    <t>G K(20)</t>
  </si>
  <si>
    <t>G.K(50)</t>
  </si>
  <si>
    <t xml:space="preserve">javeria  bibi </t>
  </si>
  <si>
    <t xml:space="preserve">Allah ditta </t>
  </si>
  <si>
    <t>muneeba</t>
  </si>
  <si>
    <t>alaam khan</t>
  </si>
  <si>
    <t>Ayesha bibi</t>
  </si>
  <si>
    <t xml:space="preserve">Muhammad Qayyum </t>
  </si>
  <si>
    <t>Raheela</t>
  </si>
  <si>
    <t xml:space="preserve">Muhammad sadique </t>
  </si>
  <si>
    <t>Zainab</t>
  </si>
  <si>
    <t xml:space="preserve">Aurangzeb </t>
  </si>
  <si>
    <t>Abdul wahab</t>
  </si>
  <si>
    <t xml:space="preserve">Naik Muhammad </t>
  </si>
  <si>
    <t>Abdul Awan</t>
  </si>
  <si>
    <t>Muhammad Rashid</t>
  </si>
  <si>
    <t>Khalid</t>
  </si>
  <si>
    <t>zarhoon Khan</t>
  </si>
  <si>
    <t>Wajid Ali</t>
  </si>
  <si>
    <t>Syed shamis</t>
  </si>
  <si>
    <t>Shafaqat hussan</t>
  </si>
  <si>
    <t>Sami Ali shah</t>
  </si>
  <si>
    <t xml:space="preserve">Abid Hussain </t>
  </si>
  <si>
    <t>Mubashir</t>
  </si>
  <si>
    <t xml:space="preserve">M Hussain </t>
  </si>
  <si>
    <t>Shabeer</t>
  </si>
  <si>
    <t xml:space="preserve">Husnain khan </t>
  </si>
  <si>
    <t xml:space="preserve">hayat Khan </t>
  </si>
  <si>
    <t xml:space="preserve">Jamshed </t>
  </si>
  <si>
    <t xml:space="preserve">Iqbal </t>
  </si>
  <si>
    <t xml:space="preserve">Jumma khan </t>
  </si>
  <si>
    <t xml:space="preserve">Badam khan </t>
  </si>
  <si>
    <t xml:space="preserve">Nehmat ullah </t>
  </si>
  <si>
    <t>Naik Muhammad</t>
  </si>
  <si>
    <t xml:space="preserve">Sufyan </t>
  </si>
  <si>
    <t xml:space="preserve">Hameed </t>
  </si>
  <si>
    <t>Laiba bibi</t>
  </si>
  <si>
    <t xml:space="preserve">Ayaz Khan </t>
  </si>
  <si>
    <t>Hyat Khan</t>
  </si>
  <si>
    <t>Jawad Ali</t>
  </si>
  <si>
    <t>Nazeer shah</t>
  </si>
  <si>
    <t>M Ikram</t>
  </si>
  <si>
    <t>Yarr M</t>
  </si>
  <si>
    <t>sulman</t>
  </si>
  <si>
    <t xml:space="preserve">Atta ur Rehman </t>
  </si>
  <si>
    <t>pie gull</t>
  </si>
  <si>
    <t>Muhammad Hassnain</t>
  </si>
  <si>
    <t>Irfanullah</t>
  </si>
  <si>
    <t xml:space="preserve">Sharjeel </t>
  </si>
  <si>
    <t>Akhter Ali</t>
  </si>
  <si>
    <t>Rukhsana Bibi</t>
  </si>
  <si>
    <t>Naseem Khan</t>
  </si>
  <si>
    <t>Fajr Khan Afridi</t>
  </si>
  <si>
    <t xml:space="preserve">Hunaninza </t>
  </si>
  <si>
    <t>Total Marks</t>
  </si>
  <si>
    <t>Islamyat (20)</t>
  </si>
  <si>
    <t>G.K (20)</t>
  </si>
  <si>
    <t>ISLAMYAT (15)</t>
  </si>
  <si>
    <t>G.K(40)</t>
  </si>
  <si>
    <t>ISlmyat (40)</t>
  </si>
  <si>
    <t xml:space="preserve">Muhammad Iqbal </t>
  </si>
  <si>
    <t xml:space="preserve">Painda Khan </t>
  </si>
  <si>
    <t xml:space="preserve">Muhammad umir </t>
  </si>
  <si>
    <t xml:space="preserve">Bawar Khan </t>
  </si>
  <si>
    <t xml:space="preserve">Faiz ullah </t>
  </si>
  <si>
    <t>Muhammad Ishtiaq</t>
  </si>
  <si>
    <t xml:space="preserve">Musa Khan </t>
  </si>
  <si>
    <t xml:space="preserve">Huzaifa Ahmed </t>
  </si>
  <si>
    <t xml:space="preserve">Ahmed Saeed </t>
  </si>
  <si>
    <t xml:space="preserve">Sami ullah </t>
  </si>
  <si>
    <t xml:space="preserve">Syed Gulam </t>
  </si>
  <si>
    <t xml:space="preserve">Syed inam shah </t>
  </si>
  <si>
    <t xml:space="preserve">Syed shabsz </t>
  </si>
  <si>
    <t xml:space="preserve">Ahsan ullah </t>
  </si>
  <si>
    <t xml:space="preserve"> Syed Gulam </t>
  </si>
  <si>
    <t xml:space="preserve">Nafisa pervaiz </t>
  </si>
  <si>
    <t xml:space="preserve">Pervaze </t>
  </si>
  <si>
    <t xml:space="preserve">Muskan asghr </t>
  </si>
  <si>
    <t xml:space="preserve">Ali Asghar </t>
  </si>
  <si>
    <t xml:space="preserve">Adeeba  basheer </t>
  </si>
  <si>
    <t xml:space="preserve">Khair ullah basheer </t>
  </si>
  <si>
    <t xml:space="preserve">Syeda rubab </t>
  </si>
  <si>
    <t xml:space="preserve">Manzoor shah </t>
  </si>
  <si>
    <t>Manahil naseem7</t>
  </si>
  <si>
    <t xml:space="preserve">Naseem </t>
  </si>
  <si>
    <t xml:space="preserve">Muqdas zaman </t>
  </si>
  <si>
    <t xml:space="preserve">Ameer zaman </t>
  </si>
  <si>
    <t xml:space="preserve">Naila bibi </t>
  </si>
  <si>
    <t xml:space="preserve"> Sardar Muhammad </t>
  </si>
  <si>
    <t xml:space="preserve">M Ahmed </t>
  </si>
  <si>
    <t xml:space="preserve">M ayaz </t>
  </si>
  <si>
    <t xml:space="preserve">Musawer </t>
  </si>
  <si>
    <t xml:space="preserve">Irfan Saeed </t>
  </si>
  <si>
    <t xml:space="preserve">Malik subhan </t>
  </si>
  <si>
    <t xml:space="preserve">Rizwan </t>
  </si>
  <si>
    <t xml:space="preserve">Umer Khan </t>
  </si>
  <si>
    <t xml:space="preserve">Zaroon </t>
  </si>
  <si>
    <t xml:space="preserve">Sulman Khan </t>
  </si>
  <si>
    <t xml:space="preserve">Ameer Ahmed </t>
  </si>
  <si>
    <t xml:space="preserve">Namrooz Khan </t>
  </si>
  <si>
    <t xml:space="preserve">M Ibrahim </t>
  </si>
  <si>
    <t xml:space="preserve">Malik Yasir </t>
  </si>
  <si>
    <t xml:space="preserve">Abu bakir </t>
  </si>
  <si>
    <t xml:space="preserve">Ibrahim </t>
  </si>
  <si>
    <t xml:space="preserve">Jalal Khan </t>
  </si>
  <si>
    <t xml:space="preserve">Gul saeed </t>
  </si>
  <si>
    <t xml:space="preserve">Sania bibi </t>
  </si>
  <si>
    <t xml:space="preserve">Ayaub Khan </t>
  </si>
  <si>
    <t xml:space="preserve">Ayesha bibi </t>
  </si>
  <si>
    <t xml:space="preserve">Jamsheed Ali </t>
  </si>
  <si>
    <t xml:space="preserve">Museera bibi </t>
  </si>
  <si>
    <t xml:space="preserve">Alam khan </t>
  </si>
  <si>
    <t xml:space="preserve">Tanzeela bibi </t>
  </si>
  <si>
    <t xml:space="preserve">Awal Gul </t>
  </si>
  <si>
    <t xml:space="preserve">Fatima kalsoom </t>
  </si>
  <si>
    <t xml:space="preserve">M Imran </t>
  </si>
  <si>
    <t xml:space="preserve">Haseena bibi </t>
  </si>
  <si>
    <t xml:space="preserve"> Faqeer gul </t>
  </si>
  <si>
    <t xml:space="preserve">Jaweria bibi </t>
  </si>
  <si>
    <t xml:space="preserve">Zia ur rehman </t>
  </si>
  <si>
    <t xml:space="preserve">Tayyba shabir </t>
  </si>
  <si>
    <t>Shabir</t>
  </si>
  <si>
    <t>M Reyan</t>
  </si>
  <si>
    <t>Jaan Muhammad</t>
  </si>
  <si>
    <t>Huriya Bibi</t>
  </si>
  <si>
    <t>Hayat Khan</t>
  </si>
  <si>
    <t>M Burhan</t>
  </si>
  <si>
    <t>Saleem Khan</t>
  </si>
  <si>
    <t xml:space="preserve">M Reyan </t>
  </si>
  <si>
    <t>Samindar Khan</t>
  </si>
  <si>
    <t>Urdu
(10)</t>
  </si>
  <si>
    <t>Math
(10)</t>
  </si>
  <si>
    <t>Isl</t>
  </si>
  <si>
    <t>Sci</t>
  </si>
  <si>
    <t>S.St</t>
  </si>
  <si>
    <t>Math 25</t>
  </si>
  <si>
    <t>Eng 30</t>
  </si>
  <si>
    <t>Urdu 30</t>
  </si>
  <si>
    <t>Isl 15</t>
  </si>
  <si>
    <t>Sci 15</t>
  </si>
  <si>
    <r>
      <rPr>
        <rFont val="Arial"/>
        <b/>
        <color rgb="FF1155CC"/>
        <sz val="12.0"/>
        <u/>
      </rPr>
      <t>S.st</t>
    </r>
    <r>
      <rPr>
        <rFont val="Arial"/>
        <b/>
        <sz val="12.0"/>
      </rPr>
      <t xml:space="preserve"> 15</t>
    </r>
  </si>
  <si>
    <t>English (25)</t>
  </si>
  <si>
    <t>Urdu(20)</t>
  </si>
  <si>
    <t>Math(25)</t>
  </si>
  <si>
    <t>Sci(30)</t>
  </si>
  <si>
    <r>
      <rPr>
        <rFont val="Arial"/>
        <b/>
        <color rgb="FF1155CC"/>
        <sz val="12.0"/>
        <u/>
      </rPr>
      <t>S.st</t>
    </r>
    <r>
      <rPr>
        <rFont val="Arial"/>
        <b/>
        <color rgb="FF000000"/>
        <sz val="12.0"/>
      </rPr>
      <t>(20)</t>
    </r>
  </si>
  <si>
    <t>ISl(25)</t>
  </si>
  <si>
    <t>English 100</t>
  </si>
  <si>
    <t>Urdu 100</t>
  </si>
  <si>
    <t>Math 80</t>
  </si>
  <si>
    <t>G. Science 80</t>
  </si>
  <si>
    <r>
      <rPr>
        <rFont val="Arial"/>
        <b/>
        <color rgb="FF1155CC"/>
        <sz val="12.0"/>
        <u/>
      </rPr>
      <t>S.st</t>
    </r>
    <r>
      <rPr>
        <rFont val="Arial"/>
        <b/>
        <color rgb="FF000000"/>
        <sz val="12.0"/>
      </rPr>
      <t xml:space="preserve"> 80</t>
    </r>
  </si>
  <si>
    <t>Isl 80</t>
  </si>
  <si>
    <t>Quratulain</t>
  </si>
  <si>
    <t>Sania bibi</t>
  </si>
  <si>
    <t>Rimsha bibi</t>
  </si>
  <si>
    <t>Natasha bibi</t>
  </si>
  <si>
    <t>Ayesha Emaan</t>
  </si>
  <si>
    <t>Khansa bibi</t>
  </si>
  <si>
    <t>Lubina bibi</t>
  </si>
  <si>
    <t>Saleema bibi</t>
  </si>
  <si>
    <t>Zunera bibi</t>
  </si>
  <si>
    <t>Tayyba Kanwal</t>
  </si>
  <si>
    <t>Aleeza bibi</t>
  </si>
  <si>
    <t>Shahzain</t>
  </si>
  <si>
    <t xml:space="preserve">M Shazaib </t>
  </si>
  <si>
    <t>hasnain Ali</t>
  </si>
  <si>
    <t>Raheel Khan</t>
  </si>
  <si>
    <t>Abdul moaiz</t>
  </si>
  <si>
    <t>Khalid umer</t>
  </si>
  <si>
    <t>Syed Rehman</t>
  </si>
  <si>
    <t xml:space="preserve">Umair Khan </t>
  </si>
  <si>
    <t xml:space="preserve">M Umair </t>
  </si>
  <si>
    <t>Muhammad Sham</t>
  </si>
  <si>
    <t>Urdu
(20</t>
  </si>
  <si>
    <t>science 20</t>
  </si>
  <si>
    <t>s .st 20</t>
  </si>
  <si>
    <t>islamiat 20</t>
  </si>
  <si>
    <t>English(15)</t>
  </si>
  <si>
    <t>urdu(15)</t>
  </si>
  <si>
    <t>sci 15</t>
  </si>
  <si>
    <t>sst (15)</t>
  </si>
  <si>
    <t>ISL (15)</t>
  </si>
  <si>
    <t xml:space="preserve">English (15) </t>
  </si>
  <si>
    <t xml:space="preserve">Urdu(15) </t>
  </si>
  <si>
    <t xml:space="preserve">Sci (15) </t>
  </si>
  <si>
    <t xml:space="preserve">S.st (15) </t>
  </si>
  <si>
    <t xml:space="preserve">Islamiat (15) </t>
  </si>
  <si>
    <t>English100</t>
  </si>
  <si>
    <t>Urdu100</t>
  </si>
  <si>
    <t>Math100</t>
  </si>
  <si>
    <t>G. Science 50</t>
  </si>
  <si>
    <t>S.st50</t>
  </si>
  <si>
    <t>ISL50</t>
  </si>
  <si>
    <t xml:space="preserve">Sohail Khan </t>
  </si>
  <si>
    <t xml:space="preserve">ayub Khan </t>
  </si>
  <si>
    <t xml:space="preserve">M Asif </t>
  </si>
  <si>
    <t xml:space="preserve">Zia u Rehman </t>
  </si>
  <si>
    <t xml:space="preserve">ubaid ullah </t>
  </si>
  <si>
    <t xml:space="preserve">aliyan </t>
  </si>
  <si>
    <t xml:space="preserve">Majid Ali </t>
  </si>
  <si>
    <t xml:space="preserve">arshuman </t>
  </si>
  <si>
    <t xml:space="preserve">ayyan </t>
  </si>
  <si>
    <t xml:space="preserve">mujahid Hussain </t>
  </si>
  <si>
    <t xml:space="preserve">arman Khan </t>
  </si>
  <si>
    <t>faqeer gul</t>
  </si>
  <si>
    <t xml:space="preserve">burhan </t>
  </si>
  <si>
    <t xml:space="preserve">Imran </t>
  </si>
  <si>
    <t>sajawal</t>
  </si>
  <si>
    <t xml:space="preserve">m Saeed </t>
  </si>
  <si>
    <t xml:space="preserve">saif ullah </t>
  </si>
  <si>
    <t>m ishtiaq</t>
  </si>
  <si>
    <t xml:space="preserve">farman </t>
  </si>
  <si>
    <t xml:space="preserve">M faizan </t>
  </si>
  <si>
    <t xml:space="preserve">m rizwan </t>
  </si>
  <si>
    <t xml:space="preserve">junaid Ali </t>
  </si>
  <si>
    <t>jamshed ali</t>
  </si>
  <si>
    <t xml:space="preserve">fahad Zaman </t>
  </si>
  <si>
    <t xml:space="preserve">Umar Khan </t>
  </si>
  <si>
    <t xml:space="preserve">ahsan Ali </t>
  </si>
  <si>
    <t>abid hussain</t>
  </si>
  <si>
    <t>Ali gul</t>
  </si>
  <si>
    <t xml:space="preserve">yaar m </t>
  </si>
  <si>
    <t xml:space="preserve">ajmal Khan </t>
  </si>
  <si>
    <t xml:space="preserve">naik m </t>
  </si>
  <si>
    <t>Abdul hameed</t>
  </si>
  <si>
    <t xml:space="preserve">shubana </t>
  </si>
  <si>
    <t>Rani gul</t>
  </si>
  <si>
    <t xml:space="preserve">awal Gul </t>
  </si>
  <si>
    <t>shazia akbar</t>
  </si>
  <si>
    <t xml:space="preserve">Akbar </t>
  </si>
  <si>
    <t xml:space="preserve">Nayyab </t>
  </si>
  <si>
    <t>Rubina bibi</t>
  </si>
  <si>
    <t>Isl 20</t>
  </si>
  <si>
    <t>Math
20</t>
  </si>
  <si>
    <t>Science20</t>
  </si>
  <si>
    <t>S.St 20</t>
  </si>
  <si>
    <t xml:space="preserve">Science </t>
  </si>
  <si>
    <t>S.st</t>
  </si>
  <si>
    <t>English 25</t>
  </si>
  <si>
    <t>Urdu 25</t>
  </si>
  <si>
    <t>Math30</t>
  </si>
  <si>
    <t>G. Science 30</t>
  </si>
  <si>
    <r>
      <rPr>
        <rFont val="Arial"/>
        <b/>
        <color rgb="FF1155CC"/>
        <sz val="12.0"/>
        <u/>
      </rPr>
      <t>S.st</t>
    </r>
    <r>
      <rPr>
        <rFont val="Arial"/>
        <b/>
        <color rgb="FF000000"/>
        <sz val="12.0"/>
      </rPr>
      <t xml:space="preserve"> 30</t>
    </r>
  </si>
  <si>
    <t>Isl 25</t>
  </si>
  <si>
    <t>English 
100</t>
  </si>
  <si>
    <t>Urdu
100</t>
  </si>
  <si>
    <t>Math 
100</t>
  </si>
  <si>
    <t>G. Science
100</t>
  </si>
  <si>
    <r>
      <rPr>
        <rFont val="Arial"/>
        <b/>
        <color rgb="FF1155CC"/>
        <sz val="12.0"/>
        <u/>
      </rPr>
      <t>S.st</t>
    </r>
    <r>
      <rPr>
        <rFont val="Arial"/>
        <b/>
        <color rgb="FF000000"/>
        <sz val="12.0"/>
      </rPr>
      <t xml:space="preserve"> 100</t>
    </r>
  </si>
  <si>
    <t>ISL 100</t>
  </si>
  <si>
    <t>Amna  Rehman</t>
  </si>
  <si>
    <t>Laiba zaman</t>
  </si>
  <si>
    <t>Mahnoor Irfan</t>
  </si>
  <si>
    <t>Safiya bibi</t>
  </si>
  <si>
    <t>Sumaira bibi</t>
  </si>
  <si>
    <t>Zara batool</t>
  </si>
  <si>
    <t>Manahil</t>
  </si>
  <si>
    <t>Ayesha Muneeb</t>
  </si>
  <si>
    <t xml:space="preserve">Sumiya </t>
  </si>
  <si>
    <t xml:space="preserve">Nida Ali </t>
  </si>
  <si>
    <t>Ali Hassan</t>
  </si>
  <si>
    <t>Aliyan Awais</t>
  </si>
  <si>
    <t>M.usman</t>
  </si>
  <si>
    <t>M.zahroon</t>
  </si>
  <si>
    <t>Saed ul haq</t>
  </si>
  <si>
    <t>Usman Awais</t>
  </si>
  <si>
    <t>M.Arslan</t>
  </si>
  <si>
    <t>Nayab Fatima</t>
  </si>
  <si>
    <t>Muhammad Faizan</t>
  </si>
  <si>
    <t>Sadia Qayyum</t>
  </si>
  <si>
    <t>Nazia Bibi</t>
  </si>
  <si>
    <t>Total No of Passed
 students</t>
  </si>
  <si>
    <t>Total No of Failed 
students</t>
  </si>
  <si>
    <t xml:space="preserve">
Math</t>
  </si>
  <si>
    <t xml:space="preserve">Geography </t>
  </si>
  <si>
    <t>G.science</t>
  </si>
  <si>
    <t>urdu</t>
  </si>
  <si>
    <t>Islamiat</t>
  </si>
  <si>
    <t xml:space="preserve">History </t>
  </si>
  <si>
    <t xml:space="preserve">computer </t>
  </si>
  <si>
    <t>Geo</t>
  </si>
  <si>
    <t>His</t>
  </si>
  <si>
    <t>Com</t>
  </si>
  <si>
    <t>His 50</t>
  </si>
  <si>
    <t>Geo 50</t>
  </si>
  <si>
    <t>Com 100</t>
  </si>
  <si>
    <t>Ahmed</t>
  </si>
  <si>
    <t>warisha shezadi</t>
  </si>
  <si>
    <t>Ijaz Ahmed</t>
  </si>
  <si>
    <t>Humaira bibi</t>
  </si>
  <si>
    <t>Farooq shah</t>
  </si>
  <si>
    <t>Rabia bibi</t>
  </si>
  <si>
    <t>Walayat shah</t>
  </si>
  <si>
    <t xml:space="preserve"> Eman Gull</t>
  </si>
  <si>
    <t>Anar Gull</t>
  </si>
  <si>
    <t>Noor ul Ain</t>
  </si>
  <si>
    <t>Ayesha Bawar</t>
  </si>
  <si>
    <t>Bawar Khan</t>
  </si>
  <si>
    <t>Eman Aslam</t>
  </si>
  <si>
    <t>Aslam Khan</t>
  </si>
  <si>
    <t>sana bibi</t>
  </si>
  <si>
    <t>Allah Ditta</t>
  </si>
  <si>
    <t>Amna bibi</t>
  </si>
  <si>
    <t>Taj malooq</t>
  </si>
  <si>
    <t>Abdul waheed</t>
  </si>
  <si>
    <t xml:space="preserve">Eman Fatima </t>
  </si>
  <si>
    <t>Ishtaiq</t>
  </si>
  <si>
    <t xml:space="preserve">Ruqiya </t>
  </si>
  <si>
    <t>Muhammad Tariq</t>
  </si>
  <si>
    <t>Eman Asghar</t>
  </si>
  <si>
    <t>Hafsa Bashar</t>
  </si>
  <si>
    <t>Khair ul Bashar</t>
  </si>
  <si>
    <t>Eman Imran</t>
  </si>
  <si>
    <t>Muhammad Imran</t>
  </si>
  <si>
    <t>Arzoo Shabeer</t>
  </si>
  <si>
    <t xml:space="preserve">Samra </t>
  </si>
  <si>
    <t>Mehrban</t>
  </si>
  <si>
    <t>Yasmeen Bibi</t>
  </si>
  <si>
    <t>Anwar</t>
  </si>
  <si>
    <t xml:space="preserve">Total students </t>
  </si>
  <si>
    <t xml:space="preserve">Passed </t>
  </si>
  <si>
    <t xml:space="preserve">Failed </t>
  </si>
  <si>
    <t xml:space="preserve">Appeared Students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</si>
</sst>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m yyyy"/>
    <numFmt numFmtId="166" formatCode="0.0"/>
  </numFmts>
  <fonts count="37">
    <font>
      <sz val="10.0"/>
      <color rgb="FF000000"/>
      <name val="Arial"/>
      <scheme val="minor"/>
    </font>
    <font>
      <b/>
      <sz val="36.0"/>
      <color theme="1"/>
      <name val="Arial"/>
    </font>
    <font>
      <b/>
      <sz val="12.0"/>
      <color theme="1"/>
      <name val="Arial"/>
    </font>
    <font/>
    <font>
      <b/>
      <u/>
      <sz val="12.0"/>
      <color rgb="FF0000FF"/>
      <name val="Arial"/>
    </font>
    <font>
      <color theme="1"/>
      <name val="Arial"/>
    </font>
    <font>
      <b/>
      <color theme="1"/>
      <name val="Arial"/>
      <scheme val="minor"/>
    </font>
    <font>
      <b/>
      <sz val="12.0"/>
      <color theme="1"/>
      <name val="Calibri"/>
    </font>
    <font>
      <b/>
      <color rgb="FFFF0000"/>
      <name val="Arial"/>
      <scheme val="minor"/>
    </font>
    <font>
      <b/>
      <color rgb="FF434343"/>
      <name val="Arial"/>
      <scheme val="minor"/>
    </font>
    <font>
      <color rgb="FF434343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sz val="12.0"/>
      <color rgb="FF000000"/>
      <name val="Calibri"/>
    </font>
    <font>
      <b/>
      <color theme="1"/>
      <name val="Arial"/>
    </font>
    <font>
      <b/>
      <color rgb="FF000000"/>
      <name val="Arial"/>
      <scheme val="minor"/>
    </font>
    <font>
      <b/>
      <color rgb="FF000000"/>
      <name val="Arial"/>
    </font>
    <font>
      <b/>
      <sz val="11.0"/>
      <color rgb="FFFF0000"/>
      <name val="Arial"/>
    </font>
    <font>
      <b/>
      <color rgb="FFFF0000"/>
      <name val="Arial"/>
    </font>
    <font>
      <sz val="12.0"/>
      <color rgb="FF000000"/>
      <name val="Calibri"/>
    </font>
    <font>
      <b/>
      <sz val="11.0"/>
      <color rgb="FFFF0000"/>
      <name val="Arial"/>
      <scheme val="minor"/>
    </font>
    <font>
      <color rgb="FFCC4125"/>
      <name val="Arial"/>
      <scheme val="minor"/>
    </font>
    <font>
      <color rgb="FFFF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2.0"/>
      <color rgb="FFFF0000"/>
      <name val="Calibri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sz val="13.0"/>
      <color rgb="FFFF0000"/>
      <name val="Arial"/>
    </font>
    <font>
      <b/>
      <sz val="13.0"/>
      <color rgb="FFFF0000"/>
      <name val="Calibri"/>
    </font>
    <font>
      <b/>
      <color rgb="FFFFFF00"/>
      <name val="Arial"/>
    </font>
    <font>
      <b/>
      <color rgb="FFFFFF00"/>
      <name val="Arial"/>
      <scheme val="minor"/>
    </font>
    <font>
      <color rgb="FFFFFF00"/>
      <name val="Arial"/>
    </font>
    <font>
      <color rgb="FFFFFF00"/>
      <name val="Arial"/>
      <scheme val="minor"/>
    </font>
    <font>
      <b/>
      <u/>
      <sz val="12.0"/>
      <color rgb="FF0000FF"/>
      <name val="Arial"/>
    </font>
    <font>
      <color theme="1"/>
      <name val="Comic Sans MS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2" fontId="2" numFmtId="164" xfId="0" applyAlignment="1" applyBorder="1" applyFill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2" fontId="2" numFmtId="164" xfId="0" applyAlignment="1" applyBorder="1" applyFont="1" applyNumberForma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8" fillId="2" fontId="2" numFmtId="164" xfId="0" applyAlignment="1" applyBorder="1" applyFont="1" applyNumberForma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1" fillId="2" fontId="2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2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6" fillId="2" fontId="4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 readingOrder="0"/>
    </xf>
    <xf borderId="13" fillId="2" fontId="2" numFmtId="0" xfId="0" applyAlignment="1" applyBorder="1" applyFont="1">
      <alignment horizontal="center"/>
    </xf>
    <xf borderId="15" fillId="2" fontId="2" numFmtId="0" xfId="0" applyAlignment="1" applyBorder="1" applyFont="1">
      <alignment horizontal="center"/>
    </xf>
    <xf borderId="15" fillId="2" fontId="2" numFmtId="0" xfId="0" applyAlignment="1" applyBorder="1" applyFont="1">
      <alignment horizontal="center" vertical="bottom"/>
    </xf>
    <xf borderId="16" fillId="2" fontId="5" numFmtId="0" xfId="0" applyBorder="1" applyFont="1"/>
    <xf borderId="14" fillId="2" fontId="5" numFmtId="0" xfId="0" applyBorder="1" applyFont="1"/>
    <xf borderId="14" fillId="2" fontId="5" numFmtId="0" xfId="0" applyAlignment="1" applyBorder="1" applyFont="1">
      <alignment horizontal="center"/>
    </xf>
    <xf borderId="15" fillId="2" fontId="5" numFmtId="0" xfId="0" applyBorder="1" applyFont="1"/>
    <xf borderId="15" fillId="2" fontId="5" numFmtId="0" xfId="0" applyAlignment="1" applyBorder="1" applyFont="1">
      <alignment vertical="bottom"/>
    </xf>
    <xf borderId="17" fillId="0" fontId="6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 readingOrder="0" shrinkToFit="0" wrapText="0"/>
    </xf>
    <xf borderId="17" fillId="0" fontId="8" numFmtId="0" xfId="0" applyAlignment="1" applyBorder="1" applyFont="1">
      <alignment horizontal="center" readingOrder="0"/>
    </xf>
    <xf borderId="17" fillId="0" fontId="9" numFmtId="0" xfId="0" applyAlignment="1" applyBorder="1" applyFont="1">
      <alignment horizontal="center" readingOrder="0"/>
    </xf>
    <xf borderId="17" fillId="0" fontId="10" numFmtId="0" xfId="0" applyAlignment="1" applyBorder="1" applyFont="1">
      <alignment horizontal="center" readingOrder="0"/>
    </xf>
    <xf borderId="17" fillId="0" fontId="11" numFmtId="0" xfId="0" applyAlignment="1" applyBorder="1" applyFont="1">
      <alignment horizontal="center" readingOrder="0"/>
    </xf>
    <xf borderId="17" fillId="0" fontId="12" numFmtId="0" xfId="0" applyAlignment="1" applyBorder="1" applyFont="1">
      <alignment horizontal="center" readingOrder="0"/>
    </xf>
    <xf borderId="17" fillId="0" fontId="13" numFmtId="0" xfId="0" applyAlignment="1" applyBorder="1" applyFont="1">
      <alignment horizontal="center" readingOrder="0"/>
    </xf>
    <xf borderId="17" fillId="0" fontId="11" numFmtId="0" xfId="0" applyBorder="1" applyFont="1"/>
    <xf borderId="17" fillId="3" fontId="13" numFmtId="0" xfId="0" applyAlignment="1" applyBorder="1" applyFill="1" applyFont="1">
      <alignment horizontal="center" readingOrder="0"/>
    </xf>
    <xf borderId="17" fillId="3" fontId="8" numFmtId="0" xfId="0" applyAlignment="1" applyBorder="1" applyFont="1">
      <alignment horizontal="center" readingOrder="0"/>
    </xf>
    <xf borderId="17" fillId="3" fontId="12" numFmtId="0" xfId="0" applyAlignment="1" applyBorder="1" applyFont="1">
      <alignment horizontal="center" readingOrder="0"/>
    </xf>
    <xf borderId="17" fillId="3" fontId="11" numFmtId="0" xfId="0" applyAlignment="1" applyBorder="1" applyFont="1">
      <alignment horizontal="center" readingOrder="0"/>
    </xf>
    <xf borderId="17" fillId="3" fontId="11" numFmtId="0" xfId="0" applyBorder="1" applyFont="1"/>
    <xf borderId="17" fillId="0" fontId="14" numFmtId="0" xfId="0" applyAlignment="1" applyBorder="1" applyFont="1">
      <alignment horizontal="center" readingOrder="0" shrinkToFit="0" wrapText="0"/>
    </xf>
    <xf borderId="17" fillId="3" fontId="6" numFmtId="0" xfId="0" applyAlignment="1" applyBorder="1" applyFont="1">
      <alignment horizontal="center"/>
    </xf>
    <xf borderId="17" fillId="3" fontId="6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center"/>
    </xf>
    <xf borderId="17" fillId="3" fontId="15" numFmtId="0" xfId="0" applyAlignment="1" applyBorder="1" applyFont="1">
      <alignment horizontal="center" readingOrder="0" vertical="bottom"/>
    </xf>
    <xf borderId="17" fillId="3" fontId="15" numFmtId="0" xfId="0" applyAlignment="1" applyBorder="1" applyFont="1">
      <alignment horizontal="center" vertical="bottom"/>
    </xf>
    <xf borderId="17" fillId="3" fontId="12" numFmtId="0" xfId="0" applyBorder="1" applyFont="1"/>
    <xf borderId="17" fillId="4" fontId="15" numFmtId="0" xfId="0" applyAlignment="1" applyBorder="1" applyFill="1" applyFont="1">
      <alignment horizontal="center" vertical="bottom"/>
    </xf>
    <xf borderId="17" fillId="5" fontId="6" numFmtId="0" xfId="0" applyAlignment="1" applyBorder="1" applyFill="1" applyFont="1">
      <alignment horizontal="center"/>
    </xf>
    <xf borderId="17" fillId="5" fontId="16" numFmtId="0" xfId="0" applyAlignment="1" applyBorder="1" applyFont="1">
      <alignment horizontal="center"/>
    </xf>
    <xf borderId="17" fillId="5" fontId="11" numFmtId="0" xfId="0" applyBorder="1" applyFont="1"/>
    <xf borderId="17" fillId="5" fontId="6" numFmtId="1" xfId="0" applyAlignment="1" applyBorder="1" applyFont="1" applyNumberFormat="1">
      <alignment horizontal="center"/>
    </xf>
    <xf borderId="17" fillId="5" fontId="16" numFmtId="1" xfId="0" applyAlignment="1" applyBorder="1" applyFont="1" applyNumberFormat="1">
      <alignment horizontal="center"/>
    </xf>
    <xf borderId="17" fillId="4" fontId="15" numFmtId="0" xfId="0" applyAlignment="1" applyBorder="1" applyFont="1">
      <alignment vertical="bottom"/>
    </xf>
    <xf borderId="17" fillId="5" fontId="11" numFmtId="0" xfId="0" applyAlignment="1" applyBorder="1" applyFont="1">
      <alignment horizontal="center" readingOrder="0"/>
    </xf>
    <xf borderId="17" fillId="5" fontId="11" numFmtId="0" xfId="0" applyAlignment="1" applyBorder="1" applyFont="1">
      <alignment horizontal="center"/>
    </xf>
    <xf borderId="17" fillId="5" fontId="6" numFmtId="0" xfId="0" applyAlignment="1" applyBorder="1" applyFont="1">
      <alignment horizontal="center" readingOrder="0"/>
    </xf>
    <xf borderId="17" fillId="5" fontId="16" numFmtId="0" xfId="0" applyAlignment="1" applyBorder="1" applyFont="1">
      <alignment horizontal="center" readingOrder="0"/>
    </xf>
    <xf borderId="17" fillId="3" fontId="5" numFmtId="0" xfId="0" applyAlignment="1" applyBorder="1" applyFont="1">
      <alignment horizontal="center" vertical="bottom"/>
    </xf>
    <xf borderId="17" fillId="5" fontId="5" numFmtId="0" xfId="0" applyAlignment="1" applyBorder="1" applyFont="1">
      <alignment horizontal="center" readingOrder="0" vertical="bottom"/>
    </xf>
    <xf borderId="17" fillId="5" fontId="15" numFmtId="0" xfId="0" applyAlignment="1" applyBorder="1" applyFont="1">
      <alignment horizontal="center" readingOrder="0" vertical="bottom"/>
    </xf>
    <xf borderId="17" fillId="5" fontId="17" numFmtId="0" xfId="0" applyAlignment="1" applyBorder="1" applyFont="1">
      <alignment horizontal="center" readingOrder="0" vertical="bottom"/>
    </xf>
    <xf borderId="17" fillId="5" fontId="5" numFmtId="0" xfId="0" applyAlignment="1" applyBorder="1" applyFont="1">
      <alignment horizontal="center" vertical="bottom"/>
    </xf>
    <xf borderId="17" fillId="5" fontId="18" numFmtId="0" xfId="0" applyAlignment="1" applyBorder="1" applyFont="1">
      <alignment horizontal="center" readingOrder="0" vertical="bottom"/>
    </xf>
    <xf borderId="17" fillId="5" fontId="19" numFmtId="0" xfId="0" applyAlignment="1" applyBorder="1" applyFont="1">
      <alignment horizontal="center" readingOrder="0" vertical="bottom"/>
    </xf>
    <xf borderId="17" fillId="5" fontId="12" numFmtId="0" xfId="0" applyAlignment="1" applyBorder="1" applyFont="1">
      <alignment horizontal="center"/>
    </xf>
    <xf borderId="17" fillId="3" fontId="12" numFmtId="0" xfId="0" applyAlignment="1" applyBorder="1" applyFont="1">
      <alignment horizontal="center"/>
    </xf>
    <xf borderId="17" fillId="5" fontId="17" numFmtId="1" xfId="0" applyAlignment="1" applyBorder="1" applyFont="1" applyNumberFormat="1">
      <alignment horizontal="center" readingOrder="0" vertical="bottom"/>
    </xf>
    <xf borderId="17" fillId="3" fontId="11" numFmtId="0" xfId="0" applyAlignment="1" applyBorder="1" applyFont="1">
      <alignment readingOrder="0"/>
    </xf>
    <xf borderId="17" fillId="6" fontId="15" numFmtId="0" xfId="0" applyAlignment="1" applyBorder="1" applyFill="1" applyFont="1">
      <alignment horizontal="center" shrinkToFit="0" vertical="bottom" wrapText="0"/>
    </xf>
    <xf borderId="17" fillId="3" fontId="5" numFmtId="0" xfId="0" applyAlignment="1" applyBorder="1" applyFont="1">
      <alignment horizontal="center" readingOrder="0" vertical="bottom"/>
    </xf>
    <xf borderId="17" fillId="3" fontId="20" numFmtId="0" xfId="0" applyAlignment="1" applyBorder="1" applyFont="1">
      <alignment horizontal="center" readingOrder="0" shrinkToFit="0" vertical="bottom" wrapText="0"/>
    </xf>
    <xf borderId="17" fillId="0" fontId="11" numFmtId="0" xfId="0" applyAlignment="1" applyBorder="1" applyFont="1">
      <alignment horizontal="center"/>
    </xf>
    <xf borderId="0" fillId="3" fontId="11" numFmtId="0" xfId="0" applyFont="1"/>
    <xf borderId="2" fillId="0" fontId="3" numFmtId="0" xfId="0" applyBorder="1" applyFont="1"/>
    <xf borderId="4" fillId="2" fontId="2" numFmtId="165" xfId="0" applyAlignment="1" applyBorder="1" applyFont="1" applyNumberFormat="1">
      <alignment horizontal="center" readingOrder="0"/>
    </xf>
    <xf borderId="10" fillId="0" fontId="3" numFmtId="0" xfId="0" applyBorder="1" applyFont="1"/>
    <xf borderId="0" fillId="0" fontId="6" numFmtId="0" xfId="0" applyAlignment="1" applyFont="1">
      <alignment horizontal="center" readingOrder="0"/>
    </xf>
    <xf borderId="17" fillId="4" fontId="15" numFmtId="0" xfId="0" applyAlignment="1" applyBorder="1" applyFont="1">
      <alignment vertical="bottom"/>
    </xf>
    <xf borderId="17" fillId="3" fontId="11" numFmtId="0" xfId="0" applyAlignment="1" applyBorder="1" applyFont="1">
      <alignment horizontal="center"/>
    </xf>
    <xf borderId="17" fillId="5" fontId="11" numFmtId="1" xfId="0" applyBorder="1" applyFont="1" applyNumberFormat="1"/>
    <xf borderId="17" fillId="5" fontId="11" numFmtId="1" xfId="0" applyAlignment="1" applyBorder="1" applyFont="1" applyNumberFormat="1">
      <alignment horizontal="center" readingOrder="0"/>
    </xf>
    <xf borderId="17" fillId="5" fontId="6" numFmtId="1" xfId="0" applyAlignment="1" applyBorder="1" applyFont="1" applyNumberFormat="1">
      <alignment horizontal="center" readingOrder="0"/>
    </xf>
    <xf borderId="17" fillId="5" fontId="11" numFmtId="1" xfId="0" applyAlignment="1" applyBorder="1" applyFont="1" applyNumberFormat="1">
      <alignment horizontal="center"/>
    </xf>
    <xf borderId="17" fillId="5" fontId="11" numFmtId="0" xfId="0" applyAlignment="1" applyBorder="1" applyFont="1">
      <alignment readingOrder="0"/>
    </xf>
    <xf borderId="17" fillId="5" fontId="21" numFmtId="0" xfId="0" applyAlignment="1" applyBorder="1" applyFont="1">
      <alignment horizontal="center" readingOrder="0"/>
    </xf>
    <xf borderId="17" fillId="5" fontId="8" numFmtId="0" xfId="0" applyAlignment="1" applyBorder="1" applyFont="1">
      <alignment horizontal="center" readingOrder="0"/>
    </xf>
    <xf borderId="0" fillId="6" fontId="15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11" numFmtId="0" xfId="0" applyAlignment="1" applyFont="1">
      <alignment horizontal="center" readingOrder="0"/>
    </xf>
    <xf borderId="17" fillId="6" fontId="15" numFmtId="0" xfId="0" applyAlignment="1" applyBorder="1" applyFont="1">
      <alignment horizontal="center" vertical="bottom"/>
    </xf>
    <xf borderId="17" fillId="3" fontId="5" numFmtId="1" xfId="0" applyAlignment="1" applyBorder="1" applyFont="1" applyNumberFormat="1">
      <alignment horizontal="center" vertical="bottom"/>
    </xf>
    <xf borderId="18" fillId="3" fontId="5" numFmtId="1" xfId="0" applyAlignment="1" applyBorder="1" applyFont="1" applyNumberFormat="1">
      <alignment horizontal="center" vertical="bottom"/>
    </xf>
    <xf borderId="0" fillId="3" fontId="11" numFmtId="0" xfId="0" applyAlignment="1" applyFont="1">
      <alignment readingOrder="0"/>
    </xf>
    <xf borderId="15" fillId="3" fontId="5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0" fillId="2" fontId="2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vertical="bottom"/>
    </xf>
    <xf borderId="16" fillId="2" fontId="5" numFmtId="0" xfId="0" applyAlignment="1" applyBorder="1" applyFont="1">
      <alignment readingOrder="0"/>
    </xf>
    <xf borderId="14" fillId="2" fontId="5" numFmtId="0" xfId="0" applyAlignment="1" applyBorder="1" applyFont="1">
      <alignment readingOrder="0"/>
    </xf>
    <xf borderId="0" fillId="2" fontId="5" numFmtId="0" xfId="0" applyAlignment="1" applyFont="1">
      <alignment vertical="bottom"/>
    </xf>
    <xf borderId="17" fillId="0" fontId="22" numFmtId="0" xfId="0" applyAlignment="1" applyBorder="1" applyFont="1">
      <alignment horizontal="center" readingOrder="0"/>
    </xf>
    <xf borderId="17" fillId="0" fontId="11" numFmtId="0" xfId="0" applyAlignment="1" applyBorder="1" applyFont="1">
      <alignment readingOrder="0"/>
    </xf>
    <xf borderId="17" fillId="3" fontId="15" numFmtId="0" xfId="0" applyAlignment="1" applyBorder="1" applyFont="1">
      <alignment vertical="bottom"/>
    </xf>
    <xf borderId="17" fillId="5" fontId="13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 vertical="bottom"/>
    </xf>
    <xf borderId="4" fillId="2" fontId="2" numFmtId="0" xfId="0" applyAlignment="1" applyBorder="1" applyFont="1">
      <alignment horizontal="center" readingOrder="0"/>
    </xf>
    <xf borderId="17" fillId="0" fontId="13" numFmtId="0" xfId="0" applyAlignment="1" applyBorder="1" applyFont="1">
      <alignment readingOrder="0"/>
    </xf>
    <xf borderId="17" fillId="3" fontId="15" numFmtId="0" xfId="0" applyAlignment="1" applyBorder="1" applyFont="1">
      <alignment readingOrder="0" vertical="bottom"/>
    </xf>
    <xf borderId="17" fillId="5" fontId="12" numFmtId="0" xfId="0" applyAlignment="1" applyBorder="1" applyFont="1">
      <alignment horizontal="center" readingOrder="0"/>
    </xf>
    <xf borderId="17" fillId="5" fontId="12" numFmtId="1" xfId="0" applyAlignment="1" applyBorder="1" applyFont="1" applyNumberFormat="1">
      <alignment horizontal="center"/>
    </xf>
    <xf borderId="17" fillId="5" fontId="12" numFmtId="1" xfId="0" applyAlignment="1" applyBorder="1" applyFont="1" applyNumberFormat="1">
      <alignment horizontal="center" readingOrder="0"/>
    </xf>
    <xf borderId="17" fillId="5" fontId="16" numFmtId="1" xfId="0" applyAlignment="1" applyBorder="1" applyFont="1" applyNumberFormat="1">
      <alignment horizontal="center" readingOrder="0"/>
    </xf>
    <xf borderId="17" fillId="5" fontId="12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7" fontId="5" numFmtId="0" xfId="0" applyAlignment="1" applyFill="1" applyFont="1">
      <alignment horizontal="center" readingOrder="0" vertical="bottom"/>
    </xf>
    <xf borderId="0" fillId="8" fontId="5" numFmtId="0" xfId="0" applyAlignment="1" applyFill="1" applyFont="1">
      <alignment horizontal="center" readingOrder="0" vertical="bottom"/>
    </xf>
    <xf borderId="17" fillId="8" fontId="5" numFmtId="0" xfId="0" applyAlignment="1" applyBorder="1" applyFont="1">
      <alignment horizontal="center" readingOrder="0" vertical="bottom"/>
    </xf>
    <xf borderId="17" fillId="7" fontId="15" numFmtId="0" xfId="0" applyAlignment="1" applyBorder="1" applyFont="1">
      <alignment horizontal="center" readingOrder="0" vertical="bottom"/>
    </xf>
    <xf borderId="0" fillId="7" fontId="11" numFmtId="0" xfId="0" applyAlignment="1" applyFont="1">
      <alignment horizontal="center" readingOrder="0"/>
    </xf>
    <xf borderId="17" fillId="7" fontId="5" numFmtId="0" xfId="0" applyAlignment="1" applyBorder="1" applyFont="1">
      <alignment horizontal="center" readingOrder="0" vertical="bottom"/>
    </xf>
    <xf borderId="17" fillId="8" fontId="12" numFmtId="0" xfId="0" applyAlignment="1" applyBorder="1" applyFont="1">
      <alignment horizontal="center"/>
    </xf>
    <xf borderId="17" fillId="7" fontId="5" numFmtId="0" xfId="0" applyAlignment="1" applyBorder="1" applyFont="1">
      <alignment horizontal="center" vertical="bottom"/>
    </xf>
    <xf borderId="17" fillId="7" fontId="11" numFmtId="0" xfId="0" applyAlignment="1" applyBorder="1" applyFont="1">
      <alignment horizontal="center"/>
    </xf>
    <xf borderId="17" fillId="8" fontId="5" numFmtId="1" xfId="0" applyAlignment="1" applyBorder="1" applyFont="1" applyNumberFormat="1">
      <alignment horizontal="center" vertical="bottom"/>
    </xf>
    <xf borderId="18" fillId="8" fontId="5" numFmtId="1" xfId="0" applyAlignment="1" applyBorder="1" applyFont="1" applyNumberFormat="1">
      <alignment horizontal="center" vertical="bottom"/>
    </xf>
    <xf borderId="0" fillId="9" fontId="11" numFmtId="0" xfId="0" applyAlignment="1" applyFill="1" applyFont="1">
      <alignment readingOrder="0"/>
    </xf>
    <xf borderId="17" fillId="7" fontId="11" numFmtId="0" xfId="0" applyAlignment="1" applyBorder="1" applyFont="1">
      <alignment horizontal="center" readingOrder="0"/>
    </xf>
    <xf borderId="17" fillId="0" fontId="20" numFmtId="0" xfId="0" applyAlignment="1" applyBorder="1" applyFont="1">
      <alignment horizontal="center" readingOrder="0" shrinkToFit="0" vertical="bottom" wrapText="0"/>
    </xf>
    <xf borderId="15" fillId="4" fontId="5" numFmtId="0" xfId="0" applyAlignment="1" applyBorder="1" applyFont="1">
      <alignment horizontal="center" vertical="bottom"/>
    </xf>
    <xf borderId="8" fillId="2" fontId="2" numFmtId="0" xfId="0" applyAlignment="1" applyBorder="1" applyFont="1">
      <alignment horizontal="center" readingOrder="0"/>
    </xf>
    <xf borderId="9" fillId="2" fontId="2" numFmtId="0" xfId="0" applyAlignment="1" applyBorder="1" applyFont="1">
      <alignment horizontal="center" readingOrder="0"/>
    </xf>
    <xf borderId="19" fillId="2" fontId="2" numFmtId="0" xfId="0" applyAlignment="1" applyBorder="1" applyFont="1">
      <alignment horizontal="center" vertical="bottom"/>
    </xf>
    <xf borderId="14" fillId="2" fontId="2" numFmtId="0" xfId="0" applyAlignment="1" applyBorder="1" applyFont="1">
      <alignment horizontal="center" readingOrder="0"/>
    </xf>
    <xf borderId="16" fillId="2" fontId="2" numFmtId="0" xfId="0" applyAlignment="1" applyBorder="1" applyFont="1">
      <alignment horizontal="center" vertical="bottom"/>
    </xf>
    <xf borderId="15" fillId="2" fontId="2" numFmtId="0" xfId="0" applyAlignment="1" applyBorder="1" applyFont="1">
      <alignment horizontal="center" vertical="bottom"/>
    </xf>
    <xf borderId="15" fillId="2" fontId="2" numFmtId="0" xfId="0" applyAlignment="1" applyBorder="1" applyFont="1">
      <alignment horizontal="center" readingOrder="0"/>
    </xf>
    <xf borderId="15" fillId="2" fontId="2" numFmtId="0" xfId="0" applyAlignment="1" applyBorder="1" applyFont="1">
      <alignment horizontal="center" readingOrder="0" vertical="bottom"/>
    </xf>
    <xf borderId="19" fillId="2" fontId="5" numFmtId="0" xfId="0" applyAlignment="1" applyBorder="1" applyFont="1">
      <alignment vertical="bottom"/>
    </xf>
    <xf borderId="17" fillId="2" fontId="11" numFmtId="0" xfId="0" applyBorder="1" applyFont="1"/>
    <xf borderId="16" fillId="0" fontId="5" numFmtId="0" xfId="0" applyAlignment="1" applyBorder="1" applyFont="1">
      <alignment horizontal="center" readingOrder="0" vertical="bottom"/>
    </xf>
    <xf borderId="15" fillId="0" fontId="5" numFmtId="0" xfId="0" applyAlignment="1" applyBorder="1" applyFont="1">
      <alignment horizontal="center" vertical="bottom"/>
    </xf>
    <xf borderId="17" fillId="0" fontId="11" numFmtId="0" xfId="0" applyAlignment="1" applyBorder="1" applyFont="1">
      <alignment horizontal="center" readingOrder="0" shrinkToFit="0" vertical="bottom" wrapText="0"/>
    </xf>
    <xf borderId="16" fillId="0" fontId="5" numFmtId="0" xfId="0" applyAlignment="1" applyBorder="1" applyFont="1">
      <alignment horizontal="center" vertical="bottom"/>
    </xf>
    <xf borderId="16" fillId="0" fontId="23" numFmtId="0" xfId="0" applyAlignment="1" applyBorder="1" applyFont="1">
      <alignment horizontal="center" vertical="bottom"/>
    </xf>
    <xf borderId="15" fillId="0" fontId="23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readingOrder="0" vertical="bottom"/>
    </xf>
    <xf borderId="17" fillId="0" fontId="5" numFmtId="0" xfId="0" applyAlignment="1" applyBorder="1" applyFont="1">
      <alignment horizontal="center" readingOrder="0" vertical="bottom"/>
    </xf>
    <xf borderId="16" fillId="0" fontId="5" numFmtId="0" xfId="0" applyAlignment="1" applyBorder="1" applyFont="1">
      <alignment horizontal="center" vertical="bottom"/>
    </xf>
    <xf borderId="17" fillId="5" fontId="15" numFmtId="0" xfId="0" applyAlignment="1" applyBorder="1" applyFont="1">
      <alignment vertical="bottom"/>
    </xf>
    <xf borderId="17" fillId="5" fontId="24" numFmtId="0" xfId="0" applyAlignment="1" applyBorder="1" applyFont="1">
      <alignment horizontal="center"/>
    </xf>
    <xf borderId="16" fillId="0" fontId="11" numFmtId="0" xfId="0" applyBorder="1" applyFont="1"/>
    <xf borderId="17" fillId="5" fontId="6" numFmtId="1" xfId="0" applyBorder="1" applyFont="1" applyNumberFormat="1"/>
    <xf borderId="17" fillId="5" fontId="15" numFmtId="1" xfId="0" applyAlignment="1" applyBorder="1" applyFont="1" applyNumberFormat="1">
      <alignment horizontal="center" vertical="bottom"/>
    </xf>
    <xf borderId="17" fillId="5" fontId="25" numFmtId="1" xfId="0" applyAlignment="1" applyBorder="1" applyFont="1" applyNumberFormat="1">
      <alignment horizontal="center" vertical="bottom"/>
    </xf>
    <xf borderId="17" fillId="5" fontId="24" numFmtId="0" xfId="0" applyAlignment="1" applyBorder="1" applyFont="1">
      <alignment horizontal="center" readingOrder="0"/>
    </xf>
    <xf borderId="17" fillId="3" fontId="6" numFmtId="0" xfId="0" applyBorder="1" applyFont="1"/>
    <xf borderId="16" fillId="0" fontId="5" numFmtId="0" xfId="0" applyAlignment="1" applyBorder="1" applyFont="1">
      <alignment vertical="bottom"/>
    </xf>
    <xf borderId="16" fillId="5" fontId="25" numFmtId="0" xfId="0" applyAlignment="1" applyBorder="1" applyFont="1">
      <alignment horizontal="center" vertical="bottom"/>
    </xf>
    <xf borderId="15" fillId="0" fontId="5" numFmtId="0" xfId="0" applyAlignment="1" applyBorder="1" applyFont="1">
      <alignment vertical="bottom"/>
    </xf>
    <xf borderId="16" fillId="3" fontId="5" numFmtId="0" xfId="0" applyAlignment="1" applyBorder="1" applyFont="1">
      <alignment vertical="bottom"/>
    </xf>
    <xf borderId="15" fillId="3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2" fillId="2" fontId="2" numFmtId="0" xfId="0" applyAlignment="1" applyBorder="1" applyFont="1">
      <alignment horizontal="left"/>
    </xf>
    <xf borderId="14" fillId="2" fontId="5" numFmtId="0" xfId="0" applyAlignment="1" applyBorder="1" applyFont="1">
      <alignment horizontal="left"/>
    </xf>
    <xf borderId="17" fillId="0" fontId="7" numFmtId="0" xfId="0" applyAlignment="1" applyBorder="1" applyFont="1">
      <alignment horizontal="left" readingOrder="0" shrinkToFit="0" wrapText="0"/>
    </xf>
    <xf borderId="17" fillId="0" fontId="6" numFmtId="0" xfId="0" applyAlignment="1" applyBorder="1" applyFont="1">
      <alignment horizontal="left" readingOrder="0"/>
    </xf>
    <xf borderId="17" fillId="3" fontId="8" numFmtId="0" xfId="0" applyAlignment="1" applyBorder="1" applyFont="1">
      <alignment horizontal="center"/>
    </xf>
    <xf borderId="17" fillId="0" fontId="14" numFmtId="0" xfId="0" applyAlignment="1" applyBorder="1" applyFont="1">
      <alignment horizontal="left" readingOrder="0" shrinkToFit="0" wrapText="0"/>
    </xf>
    <xf borderId="17" fillId="0" fontId="6" numFmtId="0" xfId="0" applyAlignment="1" applyBorder="1" applyFont="1">
      <alignment horizontal="left"/>
    </xf>
    <xf borderId="17" fillId="3" fontId="15" numFmtId="0" xfId="0" applyAlignment="1" applyBorder="1" applyFont="1">
      <alignment horizontal="left" vertical="bottom"/>
    </xf>
    <xf borderId="17" fillId="3" fontId="6" numFmtId="1" xfId="0" applyAlignment="1" applyBorder="1" applyFont="1" applyNumberFormat="1">
      <alignment horizontal="center"/>
    </xf>
    <xf borderId="17" fillId="3" fontId="6" numFmtId="0" xfId="0" applyAlignment="1" applyBorder="1" applyFont="1">
      <alignment horizontal="left" readingOrder="0"/>
    </xf>
    <xf borderId="16" fillId="0" fontId="23" numFmtId="0" xfId="0" applyAlignment="1" applyBorder="1" applyFont="1">
      <alignment horizontal="center" readingOrder="0" vertical="bottom"/>
    </xf>
    <xf borderId="15" fillId="0" fontId="23" numFmtId="0" xfId="0" applyAlignment="1" applyBorder="1" applyFont="1">
      <alignment horizontal="center" readingOrder="0" vertical="bottom"/>
    </xf>
    <xf borderId="17" fillId="0" fontId="11" numFmtId="0" xfId="0" applyAlignment="1" applyBorder="1" applyFont="1">
      <alignment horizontal="left"/>
    </xf>
    <xf borderId="17" fillId="4" fontId="15" numFmtId="0" xfId="0" applyAlignment="1" applyBorder="1" applyFont="1">
      <alignment readingOrder="0" vertical="bottom"/>
    </xf>
    <xf borderId="17" fillId="3" fontId="5" numFmtId="0" xfId="0" applyAlignment="1" applyBorder="1" applyFont="1">
      <alignment horizontal="left" vertical="bottom"/>
    </xf>
    <xf borderId="17" fillId="5" fontId="15" numFmtId="0" xfId="0" applyAlignment="1" applyBorder="1" applyFont="1">
      <alignment horizontal="center" vertical="bottom"/>
    </xf>
    <xf borderId="17" fillId="3" fontId="16" numFmtId="0" xfId="0" applyAlignment="1" applyBorder="1" applyFont="1">
      <alignment horizontal="center"/>
    </xf>
    <xf borderId="17" fillId="5" fontId="15" numFmtId="1" xfId="0" applyAlignment="1" applyBorder="1" applyFont="1" applyNumberFormat="1">
      <alignment horizontal="center" readingOrder="0" vertical="bottom"/>
    </xf>
    <xf borderId="17" fillId="3" fontId="15" numFmtId="0" xfId="0" applyAlignment="1" applyBorder="1" applyFont="1">
      <alignment horizontal="left" shrinkToFit="0" vertical="bottom" wrapText="0"/>
    </xf>
    <xf borderId="17" fillId="3" fontId="14" numFmtId="0" xfId="0" applyAlignment="1" applyBorder="1" applyFont="1">
      <alignment horizontal="center" readingOrder="0" shrinkToFit="0" vertical="bottom" wrapText="0"/>
    </xf>
    <xf borderId="0" fillId="3" fontId="11" numFmtId="0" xfId="0" applyAlignment="1" applyFont="1">
      <alignment horizontal="left"/>
    </xf>
    <xf borderId="0" fillId="0" fontId="11" numFmtId="0" xfId="0" applyAlignment="1" applyFont="1">
      <alignment horizontal="left"/>
    </xf>
    <xf borderId="5" fillId="2" fontId="2" numFmtId="164" xfId="0" applyAlignment="1" applyBorder="1" applyFont="1" applyNumberFormat="1">
      <alignment horizontal="center" readingOrder="0"/>
    </xf>
    <xf borderId="18" fillId="2" fontId="2" numFmtId="164" xfId="0" applyAlignment="1" applyBorder="1" applyFont="1" applyNumberFormat="1">
      <alignment horizontal="center" readingOrder="0"/>
    </xf>
    <xf borderId="18" fillId="2" fontId="2" numFmtId="0" xfId="0" applyAlignment="1" applyBorder="1" applyFont="1">
      <alignment horizontal="center" readingOrder="0"/>
    </xf>
    <xf borderId="20" fillId="2" fontId="2" numFmtId="0" xfId="0" applyAlignment="1" applyBorder="1" applyFont="1">
      <alignment horizontal="center"/>
    </xf>
    <xf borderId="20" fillId="2" fontId="2" numFmtId="0" xfId="0" applyAlignment="1" applyBorder="1" applyFont="1">
      <alignment horizontal="center" readingOrder="0"/>
    </xf>
    <xf borderId="14" fillId="3" fontId="5" numFmtId="0" xfId="0" applyAlignment="1" applyBorder="1" applyFont="1">
      <alignment horizontal="left" readingOrder="0"/>
    </xf>
    <xf borderId="17" fillId="3" fontId="5" numFmtId="0" xfId="0" applyAlignment="1" applyBorder="1" applyFont="1">
      <alignment readingOrder="0"/>
    </xf>
    <xf borderId="17" fillId="3" fontId="25" numFmtId="0" xfId="0" applyAlignment="1" applyBorder="1" applyFont="1">
      <alignment horizontal="center" readingOrder="0"/>
    </xf>
    <xf borderId="17" fillId="3" fontId="5" numFmtId="0" xfId="0" applyAlignment="1" applyBorder="1" applyFont="1">
      <alignment horizontal="center" readingOrder="0"/>
    </xf>
    <xf borderId="17" fillId="3" fontId="23" numFmtId="0" xfId="0" applyAlignment="1" applyBorder="1" applyFont="1">
      <alignment horizontal="center" readingOrder="0"/>
    </xf>
    <xf borderId="14" fillId="3" fontId="5" numFmtId="0" xfId="0" applyBorder="1" applyFont="1"/>
    <xf borderId="15" fillId="3" fontId="5" numFmtId="0" xfId="0" applyBorder="1" applyFont="1"/>
    <xf borderId="17" fillId="0" fontId="11" numFmtId="0" xfId="0" applyAlignment="1" applyBorder="1" applyFont="1">
      <alignment horizontal="left" readingOrder="0"/>
    </xf>
    <xf borderId="14" fillId="3" fontId="5" numFmtId="0" xfId="0" applyAlignment="1" applyBorder="1" applyFont="1">
      <alignment horizontal="center" readingOrder="0"/>
    </xf>
    <xf borderId="17" fillId="0" fontId="6" numFmtId="1" xfId="0" applyAlignment="1" applyBorder="1" applyFont="1" applyNumberFormat="1">
      <alignment horizontal="center" readingOrder="0"/>
    </xf>
    <xf borderId="17" fillId="3" fontId="23" numFmtId="0" xfId="0" applyAlignment="1" applyBorder="1" applyFont="1">
      <alignment horizontal="center" readingOrder="0" vertical="bottom"/>
    </xf>
    <xf borderId="17" fillId="3" fontId="23" numFmtId="1" xfId="0" applyAlignment="1" applyBorder="1" applyFont="1" applyNumberFormat="1">
      <alignment horizontal="center" readingOrder="0" vertical="bottom"/>
    </xf>
    <xf borderId="17" fillId="3" fontId="26" numFmtId="0" xfId="0" applyAlignment="1" applyBorder="1" applyFont="1">
      <alignment horizontal="center" readingOrder="0" shrinkToFit="0" vertical="bottom" wrapText="0"/>
    </xf>
    <xf borderId="17" fillId="5" fontId="15" numFmtId="0" xfId="0" applyAlignment="1" applyBorder="1" applyFont="1">
      <alignment vertical="bottom"/>
    </xf>
    <xf borderId="17" fillId="5" fontId="24" numFmtId="1" xfId="0" applyAlignment="1" applyBorder="1" applyFont="1" applyNumberFormat="1">
      <alignment horizontal="center"/>
    </xf>
    <xf borderId="12" fillId="2" fontId="27" numFmtId="0" xfId="0" applyAlignment="1" applyBorder="1" applyFont="1">
      <alignment horizontal="center" readingOrder="0"/>
    </xf>
    <xf borderId="12" fillId="2" fontId="28" numFmtId="0" xfId="0" applyAlignment="1" applyBorder="1" applyFont="1">
      <alignment horizontal="center" readingOrder="0"/>
    </xf>
    <xf borderId="13" fillId="2" fontId="2" numFmtId="0" xfId="0" applyAlignment="1" applyBorder="1" applyFont="1">
      <alignment horizontal="center" readingOrder="0"/>
    </xf>
    <xf borderId="17" fillId="5" fontId="5" numFmtId="1" xfId="0" applyAlignment="1" applyBorder="1" applyFont="1" applyNumberFormat="1">
      <alignment horizontal="center" vertical="bottom"/>
    </xf>
    <xf borderId="17" fillId="5" fontId="5" numFmtId="1" xfId="0" applyAlignment="1" applyBorder="1" applyFont="1" applyNumberFormat="1">
      <alignment horizontal="center" readingOrder="0" vertical="bottom"/>
    </xf>
    <xf borderId="17" fillId="5" fontId="29" numFmtId="0" xfId="0" applyAlignment="1" applyBorder="1" applyFont="1">
      <alignment horizontal="center" readingOrder="0" vertical="bottom"/>
    </xf>
    <xf borderId="17" fillId="5" fontId="30" numFmtId="0" xfId="0" applyAlignment="1" applyBorder="1" applyFont="1">
      <alignment horizontal="center" readingOrder="0" shrinkToFit="0" vertical="bottom" wrapText="0"/>
    </xf>
    <xf borderId="17" fillId="5" fontId="23" numFmtId="0" xfId="0" applyAlignment="1" applyBorder="1" applyFont="1">
      <alignment horizontal="center" readingOrder="0" vertical="bottom"/>
    </xf>
    <xf borderId="17" fillId="5" fontId="21" numFmtId="0" xfId="0" applyAlignment="1" applyBorder="1" applyFont="1">
      <alignment readingOrder="0"/>
    </xf>
    <xf borderId="17" fillId="5" fontId="20" numFmtId="0" xfId="0" applyAlignment="1" applyBorder="1" applyFont="1">
      <alignment horizontal="center" readingOrder="0" shrinkToFit="0" vertical="bottom" wrapText="0"/>
    </xf>
    <xf borderId="17" fillId="6" fontId="15" numFmtId="0" xfId="0" applyAlignment="1" applyBorder="1" applyFont="1">
      <alignment horizontal="left" shrinkToFit="0" vertical="bottom" wrapText="0"/>
    </xf>
    <xf borderId="18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 readingOrder="0"/>
    </xf>
    <xf borderId="17" fillId="3" fontId="12" numFmtId="0" xfId="0" applyAlignment="1" applyBorder="1" applyFont="1">
      <alignment horizontal="center" readingOrder="0"/>
    </xf>
    <xf borderId="17" fillId="5" fontId="6" numFmtId="166" xfId="0" applyAlignment="1" applyBorder="1" applyFont="1" applyNumberFormat="1">
      <alignment horizontal="center"/>
    </xf>
    <xf borderId="17" fillId="6" fontId="15" numFmtId="0" xfId="0" applyAlignment="1" applyBorder="1" applyFont="1">
      <alignment horizontal="left" vertical="bottom"/>
    </xf>
    <xf borderId="17" fillId="5" fontId="31" numFmtId="0" xfId="0" applyAlignment="1" applyBorder="1" applyFont="1">
      <alignment horizontal="center" vertical="bottom"/>
    </xf>
    <xf borderId="17" fillId="5" fontId="32" numFmtId="0" xfId="0" applyAlignment="1" applyBorder="1" applyFont="1">
      <alignment horizontal="center"/>
    </xf>
    <xf borderId="17" fillId="3" fontId="33" numFmtId="0" xfId="0" applyAlignment="1" applyBorder="1" applyFont="1">
      <alignment horizontal="center" readingOrder="0" vertical="bottom"/>
    </xf>
    <xf borderId="17" fillId="3" fontId="34" numFmtId="0" xfId="0" applyAlignment="1" applyBorder="1" applyFont="1">
      <alignment horizontal="center" readingOrder="0"/>
    </xf>
    <xf borderId="17" fillId="0" fontId="7" numFmtId="164" xfId="0" applyAlignment="1" applyBorder="1" applyFont="1" applyNumberFormat="1">
      <alignment vertical="bottom"/>
    </xf>
    <xf borderId="17" fillId="0" fontId="7" numFmtId="164" xfId="0" applyAlignment="1" applyBorder="1" applyFont="1" applyNumberFormat="1">
      <alignment horizontal="center" vertical="bottom"/>
    </xf>
    <xf borderId="15" fillId="2" fontId="35" numFmtId="0" xfId="0" applyAlignment="1" applyBorder="1" applyFont="1">
      <alignment horizontal="center" readingOrder="0" vertical="bottom"/>
    </xf>
    <xf borderId="15" fillId="2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 vertical="bottom"/>
    </xf>
    <xf borderId="0" fillId="6" fontId="15" numFmtId="0" xfId="0" applyAlignment="1" applyFont="1">
      <alignment horizontal="left" vertical="bottom"/>
    </xf>
    <xf borderId="17" fillId="3" fontId="15" numFmtId="0" xfId="0" applyAlignment="1" applyBorder="1" applyFont="1">
      <alignment horizontal="center" vertical="bottom"/>
    </xf>
    <xf borderId="17" fillId="3" fontId="15" numFmtId="0" xfId="0" applyAlignment="1" applyBorder="1" applyFont="1">
      <alignment horizontal="center" shrinkToFit="0" vertical="bottom" wrapText="0"/>
    </xf>
    <xf borderId="15" fillId="3" fontId="15" numFmtId="0" xfId="0" applyAlignment="1" applyBorder="1" applyFont="1">
      <alignment horizontal="center" shrinkToFit="0" vertical="bottom" wrapText="0"/>
    </xf>
    <xf borderId="9" fillId="2" fontId="2" numFmtId="164" xfId="0" applyAlignment="1" applyBorder="1" applyFont="1" applyNumberFormat="1">
      <alignment horizontal="center" readingOrder="0"/>
    </xf>
    <xf borderId="8" fillId="2" fontId="2" numFmtId="0" xfId="0" applyAlignment="1" applyBorder="1" applyFont="1">
      <alignment horizontal="center"/>
    </xf>
    <xf borderId="9" fillId="2" fontId="2" numFmtId="0" xfId="0" applyAlignment="1" applyBorder="1" applyFont="1">
      <alignment horizontal="center"/>
    </xf>
    <xf borderId="11" fillId="2" fontId="2" numFmtId="0" xfId="0" applyAlignment="1" applyBorder="1" applyFont="1">
      <alignment horizontal="center" readingOrder="0"/>
    </xf>
    <xf borderId="17" fillId="2" fontId="2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17" fillId="0" fontId="36" numFmtId="0" xfId="0" applyAlignment="1" applyBorder="1" applyFont="1">
      <alignment horizontal="center" readingOrder="0"/>
    </xf>
    <xf borderId="17" fillId="5" fontId="24" numFmtId="1" xfId="0" applyAlignment="1" applyBorder="1" applyFont="1" applyNumberFormat="1">
      <alignment horizontal="center" readingOrder="0"/>
    </xf>
    <xf borderId="17" fillId="5" fontId="6" numFmtId="0" xfId="0" applyAlignment="1" applyBorder="1" applyFont="1">
      <alignment horizontal="left" readingOrder="0"/>
    </xf>
    <xf borderId="17" fillId="0" fontId="5" numFmtId="0" xfId="0" applyAlignment="1" applyBorder="1" applyFont="1">
      <alignment horizontal="center" vertical="bottom"/>
    </xf>
    <xf borderId="17" fillId="0" fontId="5" numFmtId="1" xfId="0" applyAlignment="1" applyBorder="1" applyFont="1" applyNumberFormat="1">
      <alignment horizontal="center" vertical="bottom"/>
    </xf>
    <xf borderId="18" fillId="0" fontId="5" numFmtId="1" xfId="0" applyAlignment="1" applyBorder="1" applyFont="1" applyNumberFormat="1">
      <alignment horizontal="center" vertical="bottom"/>
    </xf>
    <xf borderId="15" fillId="0" fontId="5" numFmtId="0" xfId="0" applyAlignment="1" applyBorder="1" applyFont="1">
      <alignment horizontal="center" vertical="bottom"/>
    </xf>
    <xf borderId="17" fillId="0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st" TargetMode="External"/><Relationship Id="rId3" Type="http://schemas.openxmlformats.org/officeDocument/2006/relationships/hyperlink" Target="http://s.st/" TargetMode="External"/><Relationship Id="rId4" Type="http://schemas.openxmlformats.org/officeDocument/2006/relationships/hyperlink" Target="http://s.st/" TargetMode="External"/><Relationship Id="rId5" Type="http://schemas.openxmlformats.org/officeDocument/2006/relationships/hyperlink" Target="http://s.st/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st/" TargetMode="External"/><Relationship Id="rId3" Type="http://schemas.openxmlformats.org/officeDocument/2006/relationships/hyperlink" Target="http://s.st/" TargetMode="External"/><Relationship Id="rId4" Type="http://schemas.openxmlformats.org/officeDocument/2006/relationships/hyperlink" Target="http://s.st/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1.75"/>
    <col customWidth="1" min="3" max="3" width="19.13"/>
    <col customWidth="1" min="4" max="4" width="24.75"/>
    <col customWidth="1" min="15" max="15" width="11.0"/>
    <col customWidth="1" min="16" max="16" width="10.38"/>
    <col customWidth="1" min="17" max="17" width="7.88"/>
  </cols>
  <sheetData>
    <row r="1">
      <c r="A1" s="1" t="s">
        <v>0</v>
      </c>
      <c r="B1" s="2"/>
      <c r="C1" s="2"/>
      <c r="D1" s="3"/>
      <c r="E1" s="4">
        <v>45803.0</v>
      </c>
      <c r="F1" s="5"/>
      <c r="G1" s="6"/>
      <c r="H1" s="4">
        <v>45897.0</v>
      </c>
      <c r="I1" s="5"/>
      <c r="J1" s="6"/>
      <c r="K1" s="4">
        <v>46009.0</v>
      </c>
      <c r="L1" s="5"/>
      <c r="M1" s="6"/>
      <c r="N1" s="4">
        <v>46023.0</v>
      </c>
      <c r="O1" s="5"/>
      <c r="P1" s="5"/>
      <c r="Q1" s="6"/>
      <c r="R1" s="7"/>
      <c r="S1" s="8"/>
      <c r="T1" s="8"/>
      <c r="U1" s="8"/>
      <c r="V1" s="8"/>
      <c r="W1" s="9"/>
      <c r="X1" s="10">
        <v>45931.0</v>
      </c>
      <c r="Y1" s="11"/>
      <c r="Z1" s="11"/>
      <c r="AA1" s="11"/>
      <c r="AB1" s="11"/>
      <c r="AC1" s="12"/>
      <c r="AD1" s="10">
        <v>45962.0</v>
      </c>
      <c r="AE1" s="11"/>
      <c r="AF1" s="11"/>
      <c r="AG1" s="11"/>
      <c r="AH1" s="11"/>
      <c r="AI1" s="12"/>
    </row>
    <row r="2">
      <c r="A2" s="13"/>
      <c r="B2" s="14"/>
      <c r="C2" s="14"/>
      <c r="D2" s="15"/>
      <c r="E2" s="16" t="s">
        <v>1</v>
      </c>
      <c r="F2" s="17"/>
      <c r="G2" s="18"/>
      <c r="H2" s="16" t="s">
        <v>1</v>
      </c>
      <c r="I2" s="17"/>
      <c r="J2" s="18"/>
      <c r="K2" s="16" t="s">
        <v>1</v>
      </c>
      <c r="L2" s="17"/>
      <c r="M2" s="18"/>
      <c r="N2" s="16" t="s">
        <v>1</v>
      </c>
      <c r="O2" s="17"/>
      <c r="P2" s="17"/>
      <c r="Q2" s="18"/>
      <c r="R2" s="16" t="s">
        <v>1</v>
      </c>
      <c r="S2" s="17"/>
      <c r="T2" s="17"/>
      <c r="U2" s="17"/>
      <c r="V2" s="17"/>
      <c r="W2" s="19"/>
      <c r="X2" s="20" t="s">
        <v>1</v>
      </c>
      <c r="Y2" s="21"/>
      <c r="Z2" s="21"/>
      <c r="AA2" s="21"/>
      <c r="AB2" s="21"/>
      <c r="AC2" s="22"/>
      <c r="AD2" s="20" t="s">
        <v>1</v>
      </c>
      <c r="AE2" s="21"/>
      <c r="AF2" s="21"/>
      <c r="AG2" s="21"/>
      <c r="AH2" s="21"/>
      <c r="AI2" s="22"/>
    </row>
    <row r="3">
      <c r="A3" s="23" t="s">
        <v>2</v>
      </c>
      <c r="B3" s="24" t="s">
        <v>3</v>
      </c>
      <c r="C3" s="24" t="s">
        <v>4</v>
      </c>
      <c r="D3" s="24" t="s">
        <v>5</v>
      </c>
      <c r="E3" s="25" t="s">
        <v>6</v>
      </c>
      <c r="F3" s="25" t="s">
        <v>7</v>
      </c>
      <c r="G3" s="25" t="s">
        <v>8</v>
      </c>
      <c r="H3" s="24" t="s">
        <v>9</v>
      </c>
      <c r="I3" s="24" t="s">
        <v>10</v>
      </c>
      <c r="J3" s="24" t="s">
        <v>11</v>
      </c>
      <c r="K3" s="25" t="s">
        <v>6</v>
      </c>
      <c r="L3" s="25" t="s">
        <v>12</v>
      </c>
      <c r="M3" s="25" t="s">
        <v>13</v>
      </c>
      <c r="N3" s="25" t="s">
        <v>14</v>
      </c>
      <c r="O3" s="25" t="s">
        <v>15</v>
      </c>
      <c r="P3" s="25" t="s">
        <v>16</v>
      </c>
      <c r="Q3" s="25" t="s">
        <v>17</v>
      </c>
      <c r="R3" s="24" t="s">
        <v>18</v>
      </c>
      <c r="S3" s="24" t="s">
        <v>19</v>
      </c>
      <c r="T3" s="24" t="s">
        <v>20</v>
      </c>
      <c r="U3" s="24" t="s">
        <v>21</v>
      </c>
      <c r="V3" s="24" t="s">
        <v>22</v>
      </c>
      <c r="W3" s="26" t="s">
        <v>23</v>
      </c>
      <c r="X3" s="27" t="s">
        <v>24</v>
      </c>
      <c r="Y3" s="27" t="s">
        <v>25</v>
      </c>
      <c r="Z3" s="27" t="s">
        <v>26</v>
      </c>
      <c r="AA3" s="27" t="s">
        <v>27</v>
      </c>
      <c r="AB3" s="28" t="s">
        <v>28</v>
      </c>
      <c r="AC3" s="28" t="s">
        <v>29</v>
      </c>
      <c r="AD3" s="27" t="s">
        <v>24</v>
      </c>
      <c r="AE3" s="27" t="s">
        <v>25</v>
      </c>
      <c r="AF3" s="27" t="s">
        <v>26</v>
      </c>
      <c r="AG3" s="27" t="s">
        <v>27</v>
      </c>
      <c r="AH3" s="28" t="s">
        <v>28</v>
      </c>
      <c r="AI3" s="28" t="s">
        <v>29</v>
      </c>
    </row>
    <row r="4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  <c r="O4" s="31"/>
      <c r="P4" s="31"/>
      <c r="Q4" s="31"/>
      <c r="R4" s="30"/>
      <c r="S4" s="30"/>
      <c r="T4" s="30"/>
      <c r="U4" s="30"/>
      <c r="V4" s="30"/>
      <c r="W4" s="30"/>
      <c r="X4" s="30"/>
      <c r="Y4" s="30"/>
      <c r="Z4" s="30"/>
      <c r="AA4" s="32"/>
      <c r="AB4" s="33"/>
      <c r="AC4" s="33"/>
      <c r="AD4" s="30"/>
      <c r="AE4" s="30"/>
      <c r="AF4" s="30"/>
      <c r="AG4" s="32"/>
      <c r="AH4" s="33"/>
      <c r="AI4" s="33"/>
    </row>
    <row r="5">
      <c r="A5" s="34">
        <v>1.0</v>
      </c>
      <c r="B5" s="35" t="s">
        <v>30</v>
      </c>
      <c r="C5" s="35" t="s">
        <v>31</v>
      </c>
      <c r="D5" s="35">
        <v>901086.0</v>
      </c>
      <c r="E5" s="36" t="s">
        <v>32</v>
      </c>
      <c r="F5" s="36" t="s">
        <v>32</v>
      </c>
      <c r="G5" s="36" t="s">
        <v>32</v>
      </c>
      <c r="H5" s="37">
        <v>10.0</v>
      </c>
      <c r="I5" s="38">
        <v>9.0</v>
      </c>
      <c r="J5" s="39">
        <v>10.0</v>
      </c>
      <c r="K5" s="39">
        <v>18.0</v>
      </c>
      <c r="L5" s="39">
        <v>14.0</v>
      </c>
      <c r="M5" s="39">
        <v>15.0</v>
      </c>
      <c r="N5" s="40">
        <v>46.0</v>
      </c>
      <c r="O5" s="40">
        <v>35.0</v>
      </c>
      <c r="P5" s="40">
        <v>48.0</v>
      </c>
      <c r="Q5" s="40">
        <v>18.0</v>
      </c>
      <c r="R5" s="41"/>
      <c r="S5" s="41"/>
      <c r="T5" s="41"/>
      <c r="U5" s="39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</row>
    <row r="6">
      <c r="A6" s="34">
        <v>2.0</v>
      </c>
      <c r="B6" s="35" t="s">
        <v>33</v>
      </c>
      <c r="C6" s="35" t="s">
        <v>34</v>
      </c>
      <c r="D6" s="35">
        <v>900949.0</v>
      </c>
      <c r="E6" s="36" t="s">
        <v>32</v>
      </c>
      <c r="F6" s="34">
        <v>20.0</v>
      </c>
      <c r="G6" s="34">
        <v>20.0</v>
      </c>
      <c r="H6" s="34">
        <v>10.0</v>
      </c>
      <c r="I6" s="39">
        <v>10.0</v>
      </c>
      <c r="J6" s="39">
        <v>10.0</v>
      </c>
      <c r="K6" s="39">
        <v>19.0</v>
      </c>
      <c r="L6" s="39">
        <v>15.0</v>
      </c>
      <c r="M6" s="39">
        <v>18.0</v>
      </c>
      <c r="N6" s="40">
        <v>43.0</v>
      </c>
      <c r="O6" s="40">
        <v>47.0</v>
      </c>
      <c r="P6" s="40">
        <v>46.0</v>
      </c>
      <c r="Q6" s="40">
        <v>19.0</v>
      </c>
      <c r="R6" s="39"/>
      <c r="S6" s="39"/>
      <c r="T6" s="39"/>
      <c r="U6" s="39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>
      <c r="A7" s="34">
        <v>3.0</v>
      </c>
      <c r="B7" s="35" t="s">
        <v>35</v>
      </c>
      <c r="C7" s="35" t="s">
        <v>36</v>
      </c>
      <c r="D7" s="35">
        <v>900903.0</v>
      </c>
      <c r="E7" s="34">
        <v>19.0</v>
      </c>
      <c r="F7" s="34">
        <v>20.0</v>
      </c>
      <c r="G7" s="34">
        <v>18.0</v>
      </c>
      <c r="H7" s="34">
        <v>9.0</v>
      </c>
      <c r="I7" s="39">
        <v>6.0</v>
      </c>
      <c r="J7" s="39">
        <v>5.0</v>
      </c>
      <c r="K7" s="39">
        <v>14.0</v>
      </c>
      <c r="L7" s="39">
        <v>15.0</v>
      </c>
      <c r="M7" s="39">
        <v>17.0</v>
      </c>
      <c r="N7" s="40">
        <v>30.0</v>
      </c>
      <c r="O7" s="40">
        <v>23.0</v>
      </c>
      <c r="P7" s="40">
        <v>27.0</v>
      </c>
      <c r="Q7" s="40">
        <v>15.0</v>
      </c>
      <c r="R7" s="39"/>
      <c r="S7" s="39"/>
      <c r="T7" s="39"/>
      <c r="U7" s="39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</row>
    <row r="8">
      <c r="A8" s="34">
        <v>4.0</v>
      </c>
      <c r="B8" s="35" t="s">
        <v>37</v>
      </c>
      <c r="C8" s="35" t="s">
        <v>38</v>
      </c>
      <c r="D8" s="35">
        <v>901064.0</v>
      </c>
      <c r="E8" s="34">
        <v>18.0</v>
      </c>
      <c r="F8" s="34">
        <v>19.0</v>
      </c>
      <c r="G8" s="34">
        <v>20.0</v>
      </c>
      <c r="H8" s="34">
        <v>9.0</v>
      </c>
      <c r="I8" s="39">
        <v>8.0</v>
      </c>
      <c r="J8" s="41" t="s">
        <v>32</v>
      </c>
      <c r="K8" s="39">
        <v>13.0</v>
      </c>
      <c r="L8" s="39">
        <v>9.0</v>
      </c>
      <c r="M8" s="39">
        <v>16.0</v>
      </c>
      <c r="N8" s="40">
        <v>24.0</v>
      </c>
      <c r="O8" s="41">
        <v>18.0</v>
      </c>
      <c r="P8" s="41">
        <v>20.0</v>
      </c>
      <c r="Q8" s="40">
        <v>14.0</v>
      </c>
      <c r="R8" s="39"/>
      <c r="S8" s="39"/>
      <c r="T8" s="39"/>
      <c r="U8" s="39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</row>
    <row r="9">
      <c r="A9" s="34">
        <v>5.0</v>
      </c>
      <c r="B9" s="35" t="s">
        <v>39</v>
      </c>
      <c r="C9" s="35" t="s">
        <v>40</v>
      </c>
      <c r="D9" s="35">
        <v>900887.0</v>
      </c>
      <c r="E9" s="34">
        <v>17.0</v>
      </c>
      <c r="F9" s="34">
        <v>20.0</v>
      </c>
      <c r="G9" s="34">
        <v>20.0</v>
      </c>
      <c r="H9" s="34">
        <v>10.0</v>
      </c>
      <c r="I9" s="39">
        <v>8.0</v>
      </c>
      <c r="J9" s="39">
        <v>9.0</v>
      </c>
      <c r="K9" s="39">
        <v>17.0</v>
      </c>
      <c r="L9" s="39">
        <v>14.0</v>
      </c>
      <c r="M9" s="39">
        <v>18.0</v>
      </c>
      <c r="N9" s="41">
        <v>22.0</v>
      </c>
      <c r="O9" s="43">
        <v>20.0</v>
      </c>
      <c r="P9" s="41">
        <v>13.0</v>
      </c>
      <c r="Q9" s="40">
        <v>14.0</v>
      </c>
      <c r="R9" s="39"/>
      <c r="S9" s="39"/>
      <c r="T9" s="39"/>
      <c r="U9" s="39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</row>
    <row r="10">
      <c r="A10" s="34">
        <v>6.0</v>
      </c>
      <c r="B10" s="35" t="s">
        <v>41</v>
      </c>
      <c r="C10" s="35" t="s">
        <v>42</v>
      </c>
      <c r="D10" s="35">
        <v>901061.0</v>
      </c>
      <c r="E10" s="34">
        <v>20.0</v>
      </c>
      <c r="F10" s="34">
        <v>20.0</v>
      </c>
      <c r="G10" s="34">
        <v>15.0</v>
      </c>
      <c r="H10" s="34">
        <v>9.0</v>
      </c>
      <c r="I10" s="39">
        <v>10.0</v>
      </c>
      <c r="J10" s="39">
        <v>9.0</v>
      </c>
      <c r="K10" s="39">
        <v>17.0</v>
      </c>
      <c r="L10" s="39">
        <v>13.0</v>
      </c>
      <c r="M10" s="39">
        <v>14.0</v>
      </c>
      <c r="N10" s="40">
        <v>26.0</v>
      </c>
      <c r="O10" s="40">
        <v>24.0</v>
      </c>
      <c r="P10" s="41">
        <v>20.0</v>
      </c>
      <c r="Q10" s="40">
        <v>12.0</v>
      </c>
      <c r="R10" s="39"/>
      <c r="S10" s="39"/>
      <c r="T10" s="39"/>
      <c r="U10" s="39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</row>
    <row r="11">
      <c r="A11" s="34">
        <v>7.0</v>
      </c>
      <c r="B11" s="35" t="s">
        <v>43</v>
      </c>
      <c r="C11" s="35" t="s">
        <v>44</v>
      </c>
      <c r="D11" s="35">
        <v>900693.0</v>
      </c>
      <c r="E11" s="34">
        <v>14.0</v>
      </c>
      <c r="F11" s="34">
        <v>18.0</v>
      </c>
      <c r="G11" s="34">
        <v>15.0</v>
      </c>
      <c r="H11" s="34">
        <v>7.0</v>
      </c>
      <c r="I11" s="39">
        <v>10.0</v>
      </c>
      <c r="J11" s="39">
        <v>5.0</v>
      </c>
      <c r="K11" s="39">
        <v>13.0</v>
      </c>
      <c r="L11" s="39">
        <v>10.0</v>
      </c>
      <c r="M11" s="39">
        <v>14.0</v>
      </c>
      <c r="N11" s="40">
        <v>33.0</v>
      </c>
      <c r="O11" s="40">
        <v>32.0</v>
      </c>
      <c r="P11" s="41">
        <v>21.0</v>
      </c>
      <c r="Q11" s="40">
        <v>16.0</v>
      </c>
      <c r="R11" s="39"/>
      <c r="S11" s="39"/>
      <c r="T11" s="39"/>
      <c r="U11" s="39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>
      <c r="A12" s="34">
        <v>8.0</v>
      </c>
      <c r="B12" s="35" t="s">
        <v>45</v>
      </c>
      <c r="C12" s="35" t="s">
        <v>46</v>
      </c>
      <c r="D12" s="35">
        <v>901144.0</v>
      </c>
      <c r="E12" s="34">
        <v>16.0</v>
      </c>
      <c r="F12" s="34">
        <v>18.0</v>
      </c>
      <c r="G12" s="34">
        <v>18.0</v>
      </c>
      <c r="H12" s="34">
        <v>9.0</v>
      </c>
      <c r="I12" s="39">
        <v>8.0</v>
      </c>
      <c r="J12" s="39">
        <v>8.0</v>
      </c>
      <c r="K12" s="39">
        <v>13.0</v>
      </c>
      <c r="L12" s="39">
        <v>15.0</v>
      </c>
      <c r="M12" s="39">
        <v>18.0</v>
      </c>
      <c r="N12" s="40">
        <v>32.0</v>
      </c>
      <c r="O12" s="40">
        <v>26.0</v>
      </c>
      <c r="P12" s="41">
        <v>21.0</v>
      </c>
      <c r="Q12" s="40">
        <v>14.0</v>
      </c>
      <c r="R12" s="39"/>
      <c r="S12" s="39"/>
      <c r="T12" s="39"/>
      <c r="U12" s="39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</row>
    <row r="13">
      <c r="A13" s="34">
        <v>9.0</v>
      </c>
      <c r="B13" s="35" t="s">
        <v>47</v>
      </c>
      <c r="C13" s="35" t="s">
        <v>48</v>
      </c>
      <c r="D13" s="35">
        <v>901060.0</v>
      </c>
      <c r="E13" s="36" t="s">
        <v>49</v>
      </c>
      <c r="F13" s="34">
        <v>15.0</v>
      </c>
      <c r="G13" s="34">
        <v>12.0</v>
      </c>
      <c r="H13" s="36" t="s">
        <v>32</v>
      </c>
      <c r="I13" s="41" t="s">
        <v>32</v>
      </c>
      <c r="J13" s="41" t="s">
        <v>32</v>
      </c>
      <c r="K13" s="39">
        <v>17.0</v>
      </c>
      <c r="L13" s="39">
        <v>10.0</v>
      </c>
      <c r="M13" s="39">
        <v>14.0</v>
      </c>
      <c r="N13" s="40">
        <v>34.0</v>
      </c>
      <c r="O13" s="40">
        <v>24.0</v>
      </c>
      <c r="P13" s="40">
        <v>24.0</v>
      </c>
      <c r="Q13" s="40">
        <v>15.0</v>
      </c>
      <c r="R13" s="39"/>
      <c r="S13" s="39"/>
      <c r="T13" s="39"/>
      <c r="U13" s="39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</row>
    <row r="14">
      <c r="A14" s="34">
        <v>10.0</v>
      </c>
      <c r="B14" s="35" t="s">
        <v>50</v>
      </c>
      <c r="C14" s="35" t="s">
        <v>51</v>
      </c>
      <c r="D14" s="35">
        <v>901066.0</v>
      </c>
      <c r="E14" s="36" t="s">
        <v>32</v>
      </c>
      <c r="F14" s="36" t="s">
        <v>32</v>
      </c>
      <c r="G14" s="34">
        <v>18.0</v>
      </c>
      <c r="H14" s="34">
        <v>8.0</v>
      </c>
      <c r="I14" s="41" t="s">
        <v>32</v>
      </c>
      <c r="J14" s="39">
        <v>7.0</v>
      </c>
      <c r="K14" s="39">
        <v>18.0</v>
      </c>
      <c r="L14" s="39">
        <v>15.0</v>
      </c>
      <c r="M14" s="39">
        <v>18.0</v>
      </c>
      <c r="N14" s="41" t="s">
        <v>32</v>
      </c>
      <c r="O14" s="41" t="s">
        <v>32</v>
      </c>
      <c r="P14" s="41" t="s">
        <v>32</v>
      </c>
      <c r="Q14" s="41" t="s">
        <v>32</v>
      </c>
      <c r="R14" s="39"/>
      <c r="S14" s="39"/>
      <c r="T14" s="39"/>
      <c r="U14" s="39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</row>
    <row r="15">
      <c r="A15" s="34">
        <v>11.0</v>
      </c>
      <c r="B15" s="35" t="s">
        <v>52</v>
      </c>
      <c r="C15" s="35" t="s">
        <v>53</v>
      </c>
      <c r="D15" s="35">
        <v>901111.0</v>
      </c>
      <c r="E15" s="36" t="s">
        <v>32</v>
      </c>
      <c r="F15" s="34">
        <v>18.0</v>
      </c>
      <c r="G15" s="36" t="s">
        <v>32</v>
      </c>
      <c r="H15" s="34">
        <v>8.0</v>
      </c>
      <c r="I15" s="39">
        <v>10.0</v>
      </c>
      <c r="J15" s="39">
        <v>9.0</v>
      </c>
      <c r="K15" s="39">
        <v>11.0</v>
      </c>
      <c r="L15" s="39">
        <v>13.0</v>
      </c>
      <c r="M15" s="39">
        <v>11.0</v>
      </c>
      <c r="N15" s="41">
        <v>23.0</v>
      </c>
      <c r="O15" s="41">
        <v>23.0</v>
      </c>
      <c r="P15" s="41">
        <v>17.0</v>
      </c>
      <c r="Q15" s="40">
        <v>13.0</v>
      </c>
      <c r="R15" s="39"/>
      <c r="S15" s="39"/>
      <c r="T15" s="39"/>
      <c r="U15" s="39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</row>
    <row r="16">
      <c r="A16" s="34">
        <v>12.0</v>
      </c>
      <c r="B16" s="34" t="s">
        <v>54</v>
      </c>
      <c r="C16" s="34" t="s">
        <v>55</v>
      </c>
      <c r="D16" s="34">
        <v>901085.0</v>
      </c>
      <c r="E16" s="44" t="s">
        <v>32</v>
      </c>
      <c r="F16" s="44" t="s">
        <v>32</v>
      </c>
      <c r="G16" s="44" t="s">
        <v>32</v>
      </c>
      <c r="H16" s="44">
        <v>4.0</v>
      </c>
      <c r="I16" s="43">
        <v>2.0</v>
      </c>
      <c r="J16" s="43">
        <v>0.0</v>
      </c>
      <c r="K16" s="43" t="s">
        <v>32</v>
      </c>
      <c r="L16" s="43" t="s">
        <v>32</v>
      </c>
      <c r="M16" s="43" t="s">
        <v>32</v>
      </c>
      <c r="N16" s="43">
        <v>14.0</v>
      </c>
      <c r="O16" s="43">
        <v>1.0</v>
      </c>
      <c r="P16" s="43">
        <v>10.0</v>
      </c>
      <c r="Q16" s="45">
        <v>12.0</v>
      </c>
      <c r="R16" s="46"/>
      <c r="S16" s="46"/>
      <c r="T16" s="46"/>
      <c r="U16" s="46"/>
      <c r="V16" s="47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>
      <c r="A17" s="34">
        <v>13.0</v>
      </c>
      <c r="B17" s="48" t="s">
        <v>56</v>
      </c>
      <c r="C17" s="48" t="s">
        <v>57</v>
      </c>
      <c r="D17" s="48">
        <v>901029.0</v>
      </c>
      <c r="E17" s="39" t="s">
        <v>32</v>
      </c>
      <c r="F17" s="39" t="s">
        <v>32</v>
      </c>
      <c r="G17" s="39" t="s">
        <v>32</v>
      </c>
      <c r="H17" s="39">
        <v>10.0</v>
      </c>
      <c r="I17" s="39">
        <v>9.0</v>
      </c>
      <c r="J17" s="41" t="s">
        <v>32</v>
      </c>
      <c r="K17" s="46">
        <v>14.0</v>
      </c>
      <c r="L17" s="46">
        <v>10.0</v>
      </c>
      <c r="M17" s="46">
        <v>14.0</v>
      </c>
      <c r="N17" s="43">
        <v>22.0</v>
      </c>
      <c r="O17" s="43">
        <v>17.0</v>
      </c>
      <c r="P17" s="43">
        <v>1.0</v>
      </c>
      <c r="Q17" s="45">
        <v>12.0</v>
      </c>
      <c r="R17" s="46"/>
      <c r="S17" s="46"/>
      <c r="T17" s="46"/>
      <c r="U17" s="46"/>
      <c r="V17" s="47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</row>
    <row r="18">
      <c r="A18" s="34">
        <v>14.0</v>
      </c>
      <c r="B18" s="48" t="s">
        <v>58</v>
      </c>
      <c r="C18" s="48" t="s">
        <v>59</v>
      </c>
      <c r="D18" s="48">
        <v>901065.0</v>
      </c>
      <c r="E18" s="39">
        <v>15.0</v>
      </c>
      <c r="F18" s="39">
        <v>17.0</v>
      </c>
      <c r="G18" s="39">
        <v>15.0</v>
      </c>
      <c r="H18" s="39">
        <v>9.0</v>
      </c>
      <c r="I18" s="39">
        <v>10.0</v>
      </c>
      <c r="J18" s="39">
        <v>10.0</v>
      </c>
      <c r="K18" s="46">
        <v>19.0</v>
      </c>
      <c r="L18" s="46">
        <v>15.0</v>
      </c>
      <c r="M18" s="46">
        <v>19.0</v>
      </c>
      <c r="N18" s="45">
        <v>36.0</v>
      </c>
      <c r="O18" s="45">
        <v>34.0</v>
      </c>
      <c r="P18" s="45">
        <v>41.0</v>
      </c>
      <c r="Q18" s="45">
        <v>17.0</v>
      </c>
      <c r="R18" s="46"/>
      <c r="S18" s="46"/>
      <c r="T18" s="46"/>
      <c r="U18" s="46"/>
      <c r="V18" s="47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</row>
    <row r="19">
      <c r="A19" s="34">
        <v>15.0</v>
      </c>
      <c r="B19" s="48" t="s">
        <v>60</v>
      </c>
      <c r="C19" s="48" t="s">
        <v>61</v>
      </c>
      <c r="D19" s="48">
        <v>901110.0</v>
      </c>
      <c r="E19" s="39" t="s">
        <v>32</v>
      </c>
      <c r="F19" s="39">
        <v>19.0</v>
      </c>
      <c r="G19" s="39" t="s">
        <v>32</v>
      </c>
      <c r="H19" s="39">
        <v>8.0</v>
      </c>
      <c r="I19" s="39">
        <v>10.0</v>
      </c>
      <c r="J19" s="39">
        <v>10.0</v>
      </c>
      <c r="K19" s="46">
        <v>19.0</v>
      </c>
      <c r="L19" s="46">
        <v>15.0</v>
      </c>
      <c r="M19" s="46">
        <v>14.0</v>
      </c>
      <c r="N19" s="45">
        <v>38.0</v>
      </c>
      <c r="O19" s="45">
        <v>38.0</v>
      </c>
      <c r="P19" s="45">
        <v>38.0</v>
      </c>
      <c r="Q19" s="45">
        <v>17.0</v>
      </c>
      <c r="R19" s="46"/>
      <c r="S19" s="46"/>
      <c r="T19" s="46"/>
      <c r="U19" s="46"/>
      <c r="V19" s="47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</row>
    <row r="20">
      <c r="A20" s="34">
        <v>16.0</v>
      </c>
      <c r="B20" s="48" t="s">
        <v>62</v>
      </c>
      <c r="C20" s="48" t="s">
        <v>63</v>
      </c>
      <c r="D20" s="48">
        <v>900842.0</v>
      </c>
      <c r="E20" s="41">
        <v>18.0</v>
      </c>
      <c r="F20" s="41">
        <v>18.0</v>
      </c>
      <c r="G20" s="41">
        <v>15.0</v>
      </c>
      <c r="H20" s="39">
        <v>9.0</v>
      </c>
      <c r="I20" s="39">
        <v>10.0</v>
      </c>
      <c r="J20" s="39">
        <v>10.0</v>
      </c>
      <c r="K20" s="46">
        <v>17.0</v>
      </c>
      <c r="L20" s="46">
        <v>15.0</v>
      </c>
      <c r="M20" s="46">
        <v>13.0</v>
      </c>
      <c r="N20" s="45">
        <v>47.0</v>
      </c>
      <c r="O20" s="45">
        <v>40.0</v>
      </c>
      <c r="P20" s="45">
        <v>40.0</v>
      </c>
      <c r="Q20" s="45">
        <v>18.0</v>
      </c>
      <c r="R20" s="46"/>
      <c r="S20" s="46"/>
      <c r="T20" s="46"/>
      <c r="U20" s="46"/>
      <c r="V20" s="47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</row>
    <row r="21">
      <c r="A21" s="34">
        <v>17.0</v>
      </c>
      <c r="B21" s="48" t="s">
        <v>64</v>
      </c>
      <c r="C21" s="48" t="s">
        <v>65</v>
      </c>
      <c r="D21" s="48">
        <v>901139.0</v>
      </c>
      <c r="E21" s="36" t="s">
        <v>32</v>
      </c>
      <c r="F21" s="41" t="s">
        <v>32</v>
      </c>
      <c r="G21" s="41" t="s">
        <v>32</v>
      </c>
      <c r="H21" s="39">
        <v>6.0</v>
      </c>
      <c r="I21" s="39">
        <v>8.0</v>
      </c>
      <c r="J21" s="39">
        <v>6.0</v>
      </c>
      <c r="K21" s="46">
        <v>14.0</v>
      </c>
      <c r="L21" s="46">
        <v>14.0</v>
      </c>
      <c r="M21" s="46">
        <v>13.0</v>
      </c>
      <c r="N21" s="45">
        <v>38.0</v>
      </c>
      <c r="O21" s="45">
        <v>35.0</v>
      </c>
      <c r="P21" s="45">
        <v>30.0</v>
      </c>
      <c r="Q21" s="45">
        <v>16.0</v>
      </c>
      <c r="R21" s="46"/>
      <c r="S21" s="46"/>
      <c r="T21" s="46"/>
      <c r="U21" s="46"/>
      <c r="V21" s="47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>
      <c r="A22" s="34">
        <v>18.0</v>
      </c>
      <c r="B22" s="48" t="s">
        <v>66</v>
      </c>
      <c r="C22" s="48" t="s">
        <v>67</v>
      </c>
      <c r="D22" s="48">
        <v>900901.0</v>
      </c>
      <c r="E22" s="41">
        <v>18.0</v>
      </c>
      <c r="F22" s="41">
        <v>17.0</v>
      </c>
      <c r="G22" s="41">
        <v>18.0</v>
      </c>
      <c r="H22" s="41" t="s">
        <v>32</v>
      </c>
      <c r="I22" s="39">
        <v>7.0</v>
      </c>
      <c r="J22" s="39">
        <v>8.0</v>
      </c>
      <c r="K22" s="46">
        <v>15.0</v>
      </c>
      <c r="L22" s="46">
        <v>12.0</v>
      </c>
      <c r="M22" s="46">
        <v>13.0</v>
      </c>
      <c r="N22" s="45">
        <v>32.0</v>
      </c>
      <c r="O22" s="43">
        <v>17.0</v>
      </c>
      <c r="P22" s="45">
        <v>25.0</v>
      </c>
      <c r="Q22" s="45">
        <v>13.0</v>
      </c>
      <c r="R22" s="46"/>
      <c r="S22" s="46"/>
      <c r="T22" s="46"/>
      <c r="U22" s="46"/>
      <c r="V22" s="47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</row>
    <row r="23">
      <c r="A23" s="34">
        <v>19.0</v>
      </c>
      <c r="B23" s="48" t="s">
        <v>68</v>
      </c>
      <c r="C23" s="48" t="s">
        <v>69</v>
      </c>
      <c r="D23" s="48">
        <v>901091.0</v>
      </c>
      <c r="E23" s="41">
        <v>10.0</v>
      </c>
      <c r="F23" s="41">
        <v>10.0</v>
      </c>
      <c r="G23" s="41">
        <v>15.0</v>
      </c>
      <c r="H23" s="39">
        <v>9.0</v>
      </c>
      <c r="I23" s="41" t="s">
        <v>32</v>
      </c>
      <c r="J23" s="39">
        <v>8.0</v>
      </c>
      <c r="K23" s="43" t="s">
        <v>32</v>
      </c>
      <c r="L23" s="43" t="s">
        <v>32</v>
      </c>
      <c r="M23" s="43" t="s">
        <v>32</v>
      </c>
      <c r="N23" s="45">
        <v>29.0</v>
      </c>
      <c r="O23" s="43">
        <v>20.0</v>
      </c>
      <c r="P23" s="45">
        <v>27.0</v>
      </c>
      <c r="Q23" s="45">
        <v>15.0</v>
      </c>
      <c r="R23" s="46"/>
      <c r="S23" s="46"/>
      <c r="T23" s="46"/>
      <c r="U23" s="46"/>
      <c r="V23" s="47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</row>
    <row r="24">
      <c r="A24" s="34">
        <v>20.0</v>
      </c>
      <c r="B24" s="48" t="s">
        <v>70</v>
      </c>
      <c r="C24" s="48" t="s">
        <v>71</v>
      </c>
      <c r="D24" s="48">
        <v>901026.0</v>
      </c>
      <c r="E24" s="39">
        <v>18.0</v>
      </c>
      <c r="F24" s="39">
        <v>19.5</v>
      </c>
      <c r="G24" s="39">
        <v>15.0</v>
      </c>
      <c r="H24" s="39">
        <v>10.0</v>
      </c>
      <c r="I24" s="39">
        <v>10.0</v>
      </c>
      <c r="J24" s="39">
        <v>7.0</v>
      </c>
      <c r="K24" s="46">
        <v>20.0</v>
      </c>
      <c r="L24" s="46">
        <v>15.0</v>
      </c>
      <c r="M24" s="46">
        <v>18.0</v>
      </c>
      <c r="N24" s="45">
        <v>48.0</v>
      </c>
      <c r="O24" s="45">
        <v>47.0</v>
      </c>
      <c r="P24" s="45">
        <v>47.0</v>
      </c>
      <c r="Q24" s="45">
        <v>19.0</v>
      </c>
      <c r="R24" s="46"/>
      <c r="S24" s="46"/>
      <c r="T24" s="46"/>
      <c r="U24" s="46"/>
      <c r="V24" s="47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</row>
    <row r="25">
      <c r="A25" s="34">
        <v>21.0</v>
      </c>
      <c r="B25" s="48" t="s">
        <v>72</v>
      </c>
      <c r="C25" s="48" t="s">
        <v>73</v>
      </c>
      <c r="D25" s="48">
        <v>901145.0</v>
      </c>
      <c r="E25" s="39">
        <v>15.0</v>
      </c>
      <c r="F25" s="39">
        <v>15.0</v>
      </c>
      <c r="G25" s="39">
        <v>17.0</v>
      </c>
      <c r="H25" s="39">
        <v>6.0</v>
      </c>
      <c r="I25" s="39">
        <v>7.0</v>
      </c>
      <c r="J25" s="39">
        <v>5.0</v>
      </c>
      <c r="K25" s="46">
        <v>11.0</v>
      </c>
      <c r="L25" s="46">
        <v>13.0</v>
      </c>
      <c r="M25" s="46">
        <v>18.0</v>
      </c>
      <c r="N25" s="45">
        <v>33.0</v>
      </c>
      <c r="O25" s="45">
        <v>24.0</v>
      </c>
      <c r="P25" s="45">
        <v>23.0</v>
      </c>
      <c r="Q25" s="45">
        <v>13.0</v>
      </c>
      <c r="R25" s="46"/>
      <c r="S25" s="46"/>
      <c r="T25" s="46"/>
      <c r="U25" s="46"/>
      <c r="V25" s="47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</row>
    <row r="26">
      <c r="A26" s="34">
        <v>22.0</v>
      </c>
      <c r="B26" s="48" t="s">
        <v>74</v>
      </c>
      <c r="C26" s="48" t="s">
        <v>75</v>
      </c>
      <c r="D26" s="48">
        <v>901148.0</v>
      </c>
      <c r="E26" s="39">
        <v>16.0</v>
      </c>
      <c r="F26" s="39">
        <v>15.0</v>
      </c>
      <c r="G26" s="39">
        <v>18.0</v>
      </c>
      <c r="H26" s="39">
        <v>10.0</v>
      </c>
      <c r="I26" s="39">
        <v>6.0</v>
      </c>
      <c r="J26" s="39">
        <v>5.0</v>
      </c>
      <c r="K26" s="46">
        <v>20.0</v>
      </c>
      <c r="L26" s="46">
        <v>15.0</v>
      </c>
      <c r="M26" s="46">
        <v>19.0</v>
      </c>
      <c r="N26" s="45">
        <v>44.0</v>
      </c>
      <c r="O26" s="45">
        <v>43.0</v>
      </c>
      <c r="P26" s="45">
        <v>43.0</v>
      </c>
      <c r="Q26" s="45">
        <v>18.0</v>
      </c>
      <c r="R26" s="46"/>
      <c r="S26" s="46"/>
      <c r="T26" s="46"/>
      <c r="U26" s="46"/>
      <c r="V26" s="47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>
      <c r="A27" s="34">
        <v>23.0</v>
      </c>
      <c r="B27" s="48" t="s">
        <v>76</v>
      </c>
      <c r="C27" s="48" t="s">
        <v>77</v>
      </c>
      <c r="D27" s="48">
        <v>901150.0</v>
      </c>
      <c r="E27" s="39">
        <v>17.0</v>
      </c>
      <c r="F27" s="39">
        <v>19.0</v>
      </c>
      <c r="G27" s="39">
        <v>19.0</v>
      </c>
      <c r="H27" s="39">
        <v>10.0</v>
      </c>
      <c r="I27" s="39">
        <v>9.0</v>
      </c>
      <c r="J27" s="39">
        <v>8.0</v>
      </c>
      <c r="K27" s="46">
        <v>20.0</v>
      </c>
      <c r="L27" s="46">
        <v>15.0</v>
      </c>
      <c r="M27" s="46">
        <v>19.0</v>
      </c>
      <c r="N27" s="45">
        <v>49.0</v>
      </c>
      <c r="O27" s="45">
        <v>46.0</v>
      </c>
      <c r="P27" s="45">
        <v>44.0</v>
      </c>
      <c r="Q27" s="45">
        <v>19.0</v>
      </c>
      <c r="R27" s="46"/>
      <c r="S27" s="46"/>
      <c r="T27" s="46"/>
      <c r="U27" s="46"/>
      <c r="V27" s="47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</row>
    <row r="28">
      <c r="A28" s="34">
        <v>24.0</v>
      </c>
      <c r="B28" s="34" t="s">
        <v>78</v>
      </c>
      <c r="C28" s="34"/>
      <c r="D28" s="34">
        <v>901252.0</v>
      </c>
      <c r="E28" s="49"/>
      <c r="F28" s="49"/>
      <c r="G28" s="49"/>
      <c r="H28" s="50"/>
      <c r="I28" s="46"/>
      <c r="J28" s="46"/>
      <c r="K28" s="46">
        <v>17.0</v>
      </c>
      <c r="L28" s="46">
        <v>15.0</v>
      </c>
      <c r="M28" s="46">
        <v>14.0</v>
      </c>
      <c r="N28" s="45">
        <v>48.0</v>
      </c>
      <c r="O28" s="45">
        <v>45.0</v>
      </c>
      <c r="P28" s="45">
        <v>46.0</v>
      </c>
      <c r="Q28" s="45">
        <v>19.0</v>
      </c>
      <c r="R28" s="46"/>
      <c r="S28" s="46"/>
      <c r="T28" s="46"/>
      <c r="U28" s="46"/>
      <c r="V28" s="47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</row>
    <row r="29">
      <c r="A29" s="34">
        <v>25.0</v>
      </c>
      <c r="B29" s="34" t="s">
        <v>79</v>
      </c>
      <c r="C29" s="34"/>
      <c r="D29" s="34">
        <v>901261.0</v>
      </c>
      <c r="E29" s="49"/>
      <c r="F29" s="49"/>
      <c r="G29" s="49"/>
      <c r="H29" s="50"/>
      <c r="I29" s="46"/>
      <c r="J29" s="46"/>
      <c r="K29" s="46">
        <v>9.0</v>
      </c>
      <c r="L29" s="46">
        <v>10.0</v>
      </c>
      <c r="M29" s="46">
        <v>9.0</v>
      </c>
      <c r="N29" s="43" t="s">
        <v>32</v>
      </c>
      <c r="O29" s="43" t="s">
        <v>32</v>
      </c>
      <c r="P29" s="43" t="s">
        <v>32</v>
      </c>
      <c r="Q29" s="43" t="s">
        <v>32</v>
      </c>
      <c r="R29" s="46"/>
      <c r="S29" s="46"/>
      <c r="T29" s="46"/>
      <c r="U29" s="46"/>
      <c r="V29" s="47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</row>
    <row r="30">
      <c r="A30" s="34">
        <v>26.0</v>
      </c>
      <c r="B30" s="34" t="s">
        <v>80</v>
      </c>
      <c r="C30" s="34"/>
      <c r="D30" s="34">
        <v>901265.0</v>
      </c>
      <c r="E30" s="49"/>
      <c r="F30" s="49"/>
      <c r="G30" s="49"/>
      <c r="H30" s="50"/>
      <c r="I30" s="46"/>
      <c r="J30" s="46"/>
      <c r="K30" s="43">
        <v>5.0</v>
      </c>
      <c r="L30" s="46">
        <v>8.0</v>
      </c>
      <c r="M30" s="43">
        <v>6.0</v>
      </c>
      <c r="N30" s="45">
        <v>33.0</v>
      </c>
      <c r="O30" s="45">
        <v>32.0</v>
      </c>
      <c r="P30" s="45">
        <v>32.0</v>
      </c>
      <c r="Q30" s="45">
        <v>13.0</v>
      </c>
      <c r="R30" s="46"/>
      <c r="S30" s="46"/>
      <c r="T30" s="46"/>
      <c r="U30" s="46"/>
      <c r="V30" s="47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</row>
    <row r="31">
      <c r="A31" s="34">
        <v>27.0</v>
      </c>
      <c r="B31" s="34" t="s">
        <v>81</v>
      </c>
      <c r="C31" s="51"/>
      <c r="D31" s="52">
        <v>901180.0</v>
      </c>
      <c r="E31" s="49"/>
      <c r="F31" s="49"/>
      <c r="G31" s="49"/>
      <c r="H31" s="49"/>
      <c r="I31" s="49"/>
      <c r="J31" s="50">
        <v>1.0</v>
      </c>
      <c r="K31" s="46">
        <v>10.0</v>
      </c>
      <c r="L31" s="46">
        <v>10.0</v>
      </c>
      <c r="M31" s="43">
        <v>6.0</v>
      </c>
      <c r="N31" s="43">
        <v>13.0</v>
      </c>
      <c r="O31" s="43" t="s">
        <v>32</v>
      </c>
      <c r="P31" s="43" t="s">
        <v>32</v>
      </c>
      <c r="Q31" s="45">
        <v>10.0</v>
      </c>
      <c r="R31" s="47"/>
      <c r="S31" s="47"/>
      <c r="T31" s="47"/>
      <c r="U31" s="47"/>
      <c r="V31" s="47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>
      <c r="A32" s="34">
        <v>28.0</v>
      </c>
      <c r="B32" s="34" t="s">
        <v>82</v>
      </c>
      <c r="C32" s="51"/>
      <c r="D32" s="52">
        <v>901204.0</v>
      </c>
      <c r="E32" s="49"/>
      <c r="F32" s="49"/>
      <c r="G32" s="49"/>
      <c r="H32" s="49"/>
      <c r="I32" s="49"/>
      <c r="J32" s="49"/>
      <c r="K32" s="43" t="s">
        <v>32</v>
      </c>
      <c r="L32" s="43" t="s">
        <v>32</v>
      </c>
      <c r="M32" s="43" t="s">
        <v>32</v>
      </c>
      <c r="N32" s="43" t="s">
        <v>32</v>
      </c>
      <c r="O32" s="43" t="s">
        <v>32</v>
      </c>
      <c r="P32" s="43" t="s">
        <v>32</v>
      </c>
      <c r="Q32" s="43" t="s">
        <v>32</v>
      </c>
      <c r="R32" s="47"/>
      <c r="S32" s="47"/>
      <c r="T32" s="47"/>
      <c r="U32" s="47"/>
      <c r="V32" s="47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</row>
    <row r="33">
      <c r="A33" s="34">
        <v>29.0</v>
      </c>
      <c r="B33" s="34" t="s">
        <v>83</v>
      </c>
      <c r="C33" s="51"/>
      <c r="D33" s="52">
        <v>900981.0</v>
      </c>
      <c r="E33" s="49"/>
      <c r="F33" s="49"/>
      <c r="G33" s="49"/>
      <c r="H33" s="49"/>
      <c r="I33" s="49"/>
      <c r="J33" s="49"/>
      <c r="K33" s="46">
        <v>13.0</v>
      </c>
      <c r="L33" s="46">
        <v>15.0</v>
      </c>
      <c r="M33" s="46">
        <v>16.0</v>
      </c>
      <c r="N33" s="45">
        <v>41.0</v>
      </c>
      <c r="O33" s="45">
        <v>28.0</v>
      </c>
      <c r="P33" s="43">
        <v>22.0</v>
      </c>
      <c r="Q33" s="45">
        <v>12.0</v>
      </c>
      <c r="R33" s="47"/>
      <c r="S33" s="47"/>
      <c r="T33" s="47"/>
      <c r="U33" s="47"/>
      <c r="V33" s="47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r="34">
      <c r="A34" s="34">
        <v>30.0</v>
      </c>
      <c r="B34" s="34" t="s">
        <v>84</v>
      </c>
      <c r="C34" s="51"/>
      <c r="D34" s="52">
        <v>901262.0</v>
      </c>
      <c r="E34" s="49"/>
      <c r="F34" s="49"/>
      <c r="G34" s="49"/>
      <c r="H34" s="49"/>
      <c r="I34" s="49"/>
      <c r="J34" s="49"/>
      <c r="K34" s="46">
        <v>12.0</v>
      </c>
      <c r="L34" s="46">
        <v>11.0</v>
      </c>
      <c r="M34" s="46">
        <v>15.0</v>
      </c>
      <c r="N34" s="45">
        <v>42.0</v>
      </c>
      <c r="O34" s="45">
        <v>42.0</v>
      </c>
      <c r="P34" s="45">
        <v>36.0</v>
      </c>
      <c r="Q34" s="45">
        <v>14.0</v>
      </c>
      <c r="R34" s="47"/>
      <c r="S34" s="47"/>
      <c r="T34" s="47"/>
      <c r="U34" s="47"/>
      <c r="V34" s="47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>
      <c r="A35" s="34"/>
      <c r="B35" s="34"/>
      <c r="C35" s="51"/>
      <c r="D35" s="53"/>
      <c r="E35" s="49"/>
      <c r="F35" s="49"/>
      <c r="G35" s="49"/>
      <c r="H35" s="49"/>
      <c r="I35" s="49"/>
      <c r="J35" s="49"/>
      <c r="K35" s="47"/>
      <c r="L35" s="47"/>
      <c r="M35" s="47"/>
      <c r="N35" s="54"/>
      <c r="O35" s="54"/>
      <c r="P35" s="54"/>
      <c r="Q35" s="54"/>
      <c r="R35" s="47"/>
      <c r="S35" s="47"/>
      <c r="T35" s="47"/>
      <c r="U35" s="47"/>
      <c r="V35" s="47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>
      <c r="A36" s="34"/>
      <c r="B36" s="55" t="s">
        <v>85</v>
      </c>
      <c r="C36" s="51"/>
      <c r="D36" s="42"/>
      <c r="E36" s="56">
        <f t="shared" ref="E36:J36" si="1">SUM(E5:E16)</f>
        <v>104</v>
      </c>
      <c r="F36" s="56">
        <f t="shared" si="1"/>
        <v>168</v>
      </c>
      <c r="G36" s="56">
        <f t="shared" si="1"/>
        <v>156</v>
      </c>
      <c r="H36" s="56">
        <f t="shared" si="1"/>
        <v>93</v>
      </c>
      <c r="I36" s="56">
        <f t="shared" si="1"/>
        <v>81</v>
      </c>
      <c r="J36" s="56">
        <f t="shared" si="1"/>
        <v>72</v>
      </c>
      <c r="K36" s="56">
        <f t="shared" ref="K36:Q36" si="2">sum(K5:K34)</f>
        <v>405</v>
      </c>
      <c r="L36" s="56">
        <f t="shared" si="2"/>
        <v>351</v>
      </c>
      <c r="M36" s="56">
        <f t="shared" si="2"/>
        <v>399</v>
      </c>
      <c r="N36" s="57">
        <f t="shared" si="2"/>
        <v>920</v>
      </c>
      <c r="O36" s="57">
        <f t="shared" si="2"/>
        <v>781</v>
      </c>
      <c r="P36" s="57">
        <f t="shared" si="2"/>
        <v>762</v>
      </c>
      <c r="Q36" s="57">
        <f t="shared" si="2"/>
        <v>407</v>
      </c>
      <c r="R36" s="58"/>
      <c r="S36" s="58"/>
      <c r="T36" s="58"/>
      <c r="U36" s="47"/>
      <c r="V36" s="47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>
      <c r="A37" s="34"/>
      <c r="B37" s="55" t="s">
        <v>86</v>
      </c>
      <c r="C37" s="51"/>
      <c r="D37" s="42"/>
      <c r="E37" s="56">
        <f t="shared" ref="E37:Q37" si="3">E36/E41</f>
        <v>6.5</v>
      </c>
      <c r="F37" s="56">
        <f t="shared" si="3"/>
        <v>9.333333333</v>
      </c>
      <c r="G37" s="56">
        <f t="shared" si="3"/>
        <v>7.8</v>
      </c>
      <c r="H37" s="59">
        <f t="shared" si="3"/>
        <v>7.75</v>
      </c>
      <c r="I37" s="59">
        <f t="shared" si="3"/>
        <v>8.1</v>
      </c>
      <c r="J37" s="59">
        <f t="shared" si="3"/>
        <v>6.545454545</v>
      </c>
      <c r="K37" s="56">
        <f t="shared" si="3"/>
        <v>15</v>
      </c>
      <c r="L37" s="56">
        <f t="shared" si="3"/>
        <v>13</v>
      </c>
      <c r="M37" s="59">
        <f t="shared" si="3"/>
        <v>14.77777778</v>
      </c>
      <c r="N37" s="60">
        <f t="shared" si="3"/>
        <v>34.07407407</v>
      </c>
      <c r="O37" s="60">
        <f t="shared" si="3"/>
        <v>28.92592593</v>
      </c>
      <c r="P37" s="60">
        <f t="shared" si="3"/>
        <v>29.30769231</v>
      </c>
      <c r="Q37" s="60">
        <f t="shared" si="3"/>
        <v>15.07407407</v>
      </c>
      <c r="R37" s="58"/>
      <c r="S37" s="58"/>
      <c r="T37" s="58"/>
      <c r="U37" s="47"/>
      <c r="V37" s="47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>
      <c r="A38" s="42"/>
      <c r="B38" s="61" t="s">
        <v>87</v>
      </c>
      <c r="C38" s="42"/>
      <c r="D38" s="42"/>
      <c r="E38" s="62">
        <v>30.0</v>
      </c>
      <c r="F38" s="63"/>
      <c r="G38" s="63"/>
      <c r="H38" s="64">
        <v>13.0</v>
      </c>
      <c r="I38" s="64">
        <v>13.0</v>
      </c>
      <c r="J38" s="64">
        <v>13.0</v>
      </c>
      <c r="K38" s="64">
        <v>31.0</v>
      </c>
      <c r="L38" s="64">
        <v>31.0</v>
      </c>
      <c r="M38" s="64">
        <v>31.0</v>
      </c>
      <c r="N38" s="65">
        <v>30.0</v>
      </c>
      <c r="O38" s="65">
        <v>30.0</v>
      </c>
      <c r="P38" s="65">
        <v>30.0</v>
      </c>
      <c r="Q38" s="65">
        <v>30.0</v>
      </c>
      <c r="R38" s="58"/>
      <c r="S38" s="58"/>
      <c r="T38" s="58"/>
      <c r="U38" s="47"/>
      <c r="V38" s="47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>
      <c r="A39" s="47"/>
      <c r="B39" s="61" t="s">
        <v>88</v>
      </c>
      <c r="C39" s="66"/>
      <c r="D39" s="42"/>
      <c r="E39" s="67">
        <v>16.0</v>
      </c>
      <c r="F39" s="67">
        <v>18.0</v>
      </c>
      <c r="G39" s="67">
        <v>20.0</v>
      </c>
      <c r="H39" s="68">
        <v>11.0</v>
      </c>
      <c r="I39" s="68">
        <v>9.0</v>
      </c>
      <c r="J39" s="68">
        <v>9.0</v>
      </c>
      <c r="K39" s="68">
        <v>26.0</v>
      </c>
      <c r="L39" s="68">
        <v>27.0</v>
      </c>
      <c r="M39" s="68">
        <v>25.0</v>
      </c>
      <c r="N39" s="69">
        <v>22.0</v>
      </c>
      <c r="O39" s="69">
        <v>20.0</v>
      </c>
      <c r="P39" s="69">
        <v>17.0</v>
      </c>
      <c r="Q39" s="69">
        <v>27.0</v>
      </c>
      <c r="R39" s="67"/>
      <c r="S39" s="68"/>
      <c r="T39" s="67"/>
      <c r="U39" s="46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</row>
    <row r="40">
      <c r="A40" s="47"/>
      <c r="B40" s="61" t="s">
        <v>89</v>
      </c>
      <c r="C40" s="66"/>
      <c r="D40" s="42"/>
      <c r="E40" s="70"/>
      <c r="F40" s="70"/>
      <c r="G40" s="70"/>
      <c r="H40" s="68">
        <v>1.0</v>
      </c>
      <c r="I40" s="68">
        <v>1.0</v>
      </c>
      <c r="J40" s="68">
        <v>2.0</v>
      </c>
      <c r="K40" s="71">
        <v>1.0</v>
      </c>
      <c r="L40" s="71">
        <v>0.0</v>
      </c>
      <c r="M40" s="71">
        <v>2.0</v>
      </c>
      <c r="N40" s="72">
        <v>5.0</v>
      </c>
      <c r="O40" s="72">
        <v>7.0</v>
      </c>
      <c r="P40" s="72">
        <v>9.0</v>
      </c>
      <c r="Q40" s="72">
        <v>0.0</v>
      </c>
      <c r="R40" s="73"/>
      <c r="S40" s="73"/>
      <c r="T40" s="73"/>
      <c r="U40" s="74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</row>
    <row r="41">
      <c r="A41" s="42"/>
      <c r="B41" s="61" t="s">
        <v>90</v>
      </c>
      <c r="C41" s="66"/>
      <c r="D41" s="42"/>
      <c r="E41" s="67">
        <v>16.0</v>
      </c>
      <c r="F41" s="67">
        <v>18.0</v>
      </c>
      <c r="G41" s="67">
        <v>20.0</v>
      </c>
      <c r="H41" s="68">
        <v>12.0</v>
      </c>
      <c r="I41" s="68">
        <v>10.0</v>
      </c>
      <c r="J41" s="64">
        <v>11.0</v>
      </c>
      <c r="K41" s="68">
        <v>27.0</v>
      </c>
      <c r="L41" s="68">
        <v>27.0</v>
      </c>
      <c r="M41" s="64">
        <v>27.0</v>
      </c>
      <c r="N41" s="75">
        <v>27.0</v>
      </c>
      <c r="O41" s="75">
        <v>27.0</v>
      </c>
      <c r="P41" s="75">
        <v>26.0</v>
      </c>
      <c r="Q41" s="75">
        <v>27.0</v>
      </c>
      <c r="R41" s="67"/>
      <c r="S41" s="67"/>
      <c r="T41" s="67"/>
      <c r="U41" s="76"/>
      <c r="V41" s="47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>
      <c r="A42" s="42"/>
      <c r="B42" s="77"/>
      <c r="C42" s="66"/>
      <c r="D42" s="66"/>
      <c r="E42" s="66"/>
      <c r="F42" s="66"/>
      <c r="G42" s="66"/>
      <c r="H42" s="78"/>
      <c r="I42" s="78"/>
      <c r="J42" s="46"/>
      <c r="K42" s="78"/>
      <c r="L42" s="78"/>
      <c r="M42" s="46"/>
      <c r="N42" s="78"/>
      <c r="O42" s="78"/>
      <c r="P42" s="79"/>
      <c r="Q42" s="79"/>
      <c r="R42" s="66"/>
      <c r="S42" s="66"/>
      <c r="T42" s="66"/>
      <c r="U42" s="66"/>
      <c r="V42" s="47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r="43">
      <c r="A43" s="42"/>
      <c r="B43" s="77"/>
      <c r="C43" s="66"/>
      <c r="D43" s="66"/>
      <c r="E43" s="66"/>
      <c r="F43" s="66"/>
      <c r="G43" s="66"/>
      <c r="H43" s="78"/>
      <c r="I43" s="78"/>
      <c r="J43" s="46"/>
      <c r="K43" s="78"/>
      <c r="L43" s="78"/>
      <c r="M43" s="46"/>
      <c r="N43" s="78"/>
      <c r="O43" s="78"/>
      <c r="P43" s="79"/>
      <c r="Q43" s="79"/>
      <c r="R43" s="66"/>
      <c r="S43" s="66"/>
      <c r="T43" s="66"/>
      <c r="U43" s="66"/>
      <c r="V43" s="47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</row>
    <row r="44">
      <c r="A44" s="42"/>
      <c r="B44" s="77"/>
      <c r="C44" s="66"/>
      <c r="D44" s="66"/>
      <c r="E44" s="66"/>
      <c r="F44" s="66"/>
      <c r="G44" s="66"/>
      <c r="H44" s="78"/>
      <c r="I44" s="78"/>
      <c r="J44" s="46"/>
      <c r="K44" s="78"/>
      <c r="L44" s="78"/>
      <c r="M44" s="46"/>
      <c r="N44" s="78"/>
      <c r="O44" s="78"/>
      <c r="P44" s="79"/>
      <c r="Q44" s="79"/>
      <c r="R44" s="66"/>
      <c r="S44" s="66"/>
      <c r="T44" s="66"/>
      <c r="U44" s="66"/>
      <c r="V44" s="47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</row>
    <row r="45">
      <c r="A45" s="42"/>
      <c r="B45" s="77"/>
      <c r="C45" s="66"/>
      <c r="D45" s="66"/>
      <c r="E45" s="66"/>
      <c r="F45" s="66"/>
      <c r="G45" s="66"/>
      <c r="H45" s="78"/>
      <c r="I45" s="78"/>
      <c r="J45" s="46"/>
      <c r="K45" s="78"/>
      <c r="L45" s="78"/>
      <c r="M45" s="46"/>
      <c r="N45" s="78"/>
      <c r="O45" s="78"/>
      <c r="P45" s="78"/>
      <c r="Q45" s="78"/>
      <c r="R45" s="47"/>
      <c r="S45" s="47"/>
      <c r="T45" s="47"/>
      <c r="U45" s="47"/>
      <c r="V45" s="47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</row>
    <row r="46">
      <c r="A46" s="42"/>
      <c r="B46" s="66"/>
      <c r="C46" s="66"/>
      <c r="D46" s="66"/>
      <c r="E46" s="66"/>
      <c r="F46" s="66"/>
      <c r="G46" s="66"/>
      <c r="H46" s="66"/>
      <c r="I46" s="66"/>
      <c r="J46" s="80"/>
      <c r="K46" s="66"/>
      <c r="L46" s="66"/>
      <c r="M46" s="80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>
      <c r="B47" s="81"/>
      <c r="C47" s="81"/>
      <c r="D47" s="81"/>
      <c r="E47" s="81"/>
      <c r="F47" s="81"/>
      <c r="G47" s="81"/>
      <c r="H47" s="81"/>
      <c r="I47" s="81"/>
      <c r="K47" s="81"/>
      <c r="L47" s="81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</row>
    <row r="48"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</row>
    <row r="49"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</row>
    <row r="51"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</row>
    <row r="53"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</row>
    <row r="54"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</row>
    <row r="55"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</row>
    <row r="56"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  <row r="116"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</row>
    <row r="117"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</row>
    <row r="118"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</row>
    <row r="119"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</row>
    <row r="120"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</row>
    <row r="121"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</row>
    <row r="122"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</row>
    <row r="123"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</row>
    <row r="124"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</row>
    <row r="125"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</row>
    <row r="126"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</row>
    <row r="127"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</row>
    <row r="128"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</row>
    <row r="129"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</row>
    <row r="130"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</row>
    <row r="131"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</row>
    <row r="132"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</row>
    <row r="133"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</row>
    <row r="134"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</row>
    <row r="135"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</row>
    <row r="136"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</row>
    <row r="137"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</row>
    <row r="138"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</row>
    <row r="139"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</row>
    <row r="140"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</row>
    <row r="141"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</row>
    <row r="142"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</row>
    <row r="143"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</row>
    <row r="144"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</row>
    <row r="145"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</row>
    <row r="146"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</row>
    <row r="147"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</row>
    <row r="148"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</row>
    <row r="149"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</row>
    <row r="150"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</row>
    <row r="151"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</row>
    <row r="152"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</row>
    <row r="153"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</row>
    <row r="154"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</row>
    <row r="155"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</row>
    <row r="156"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</row>
    <row r="157"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</row>
    <row r="158"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</row>
    <row r="159"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</row>
    <row r="160"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</row>
    <row r="161"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</row>
    <row r="162"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</row>
    <row r="163"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</row>
    <row r="164"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</row>
    <row r="165"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</row>
    <row r="166"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</row>
    <row r="167"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</row>
    <row r="168"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</row>
    <row r="169"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</row>
    <row r="170"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</row>
    <row r="171"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</row>
    <row r="172"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</row>
    <row r="173"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</row>
    <row r="174"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</row>
    <row r="175"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</row>
    <row r="176"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</row>
    <row r="177"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</row>
    <row r="178"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</row>
    <row r="179"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</row>
    <row r="180"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</row>
    <row r="181"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</row>
    <row r="182"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</row>
    <row r="183"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</row>
    <row r="184"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</row>
    <row r="185"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</row>
    <row r="186"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</row>
    <row r="187"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</row>
    <row r="188"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</row>
    <row r="189"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</row>
    <row r="190"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</row>
    <row r="191"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</row>
    <row r="192"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</row>
    <row r="193"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</row>
    <row r="194"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</row>
    <row r="195"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</row>
    <row r="196"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</row>
    <row r="197"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</row>
    <row r="198"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</row>
    <row r="199"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</row>
    <row r="200"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</row>
    <row r="201"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</row>
    <row r="202"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</row>
    <row r="203"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</row>
    <row r="204"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</row>
    <row r="205"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</row>
    <row r="206"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</row>
    <row r="207"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</row>
    <row r="208"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</row>
    <row r="209"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</row>
    <row r="210"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</row>
    <row r="211"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</row>
    <row r="212"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</row>
    <row r="213"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</row>
    <row r="214"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</row>
    <row r="215"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</row>
    <row r="216"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</row>
    <row r="217"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</row>
    <row r="218"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</row>
    <row r="219"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</row>
    <row r="220"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</row>
    <row r="221"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</row>
    <row r="222"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</row>
    <row r="223"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</row>
    <row r="224"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</row>
    <row r="225"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</row>
    <row r="226"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</row>
    <row r="227"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</row>
    <row r="228"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</row>
    <row r="229"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</row>
    <row r="230"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</row>
    <row r="231"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</row>
    <row r="232"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</row>
    <row r="233"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</row>
    <row r="234"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</row>
    <row r="235"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</row>
    <row r="236"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</row>
    <row r="237"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</row>
    <row r="238"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</row>
    <row r="239"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</row>
    <row r="240"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</row>
    <row r="241"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</row>
    <row r="242"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</row>
    <row r="243"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</row>
    <row r="244"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</row>
    <row r="245"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</row>
    <row r="246"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</row>
    <row r="247"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</row>
    <row r="248"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</row>
    <row r="249"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</row>
    <row r="250"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</row>
    <row r="251"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</row>
    <row r="252"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</row>
    <row r="253"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</row>
    <row r="254"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</row>
    <row r="255"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</row>
    <row r="256"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</row>
    <row r="257"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</row>
    <row r="258"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</row>
    <row r="259"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</row>
    <row r="260"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</row>
    <row r="261"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</row>
    <row r="262"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</row>
    <row r="263"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</row>
    <row r="264"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</row>
    <row r="265"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</row>
    <row r="266"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</row>
    <row r="267"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</row>
    <row r="268"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</row>
    <row r="269"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</row>
    <row r="270"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</row>
    <row r="271"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</row>
    <row r="272"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</row>
    <row r="273"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</row>
    <row r="274"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</row>
    <row r="275"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</row>
    <row r="276"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</row>
    <row r="277"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</row>
    <row r="278"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</row>
    <row r="279"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</row>
    <row r="280"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</row>
    <row r="281"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</row>
    <row r="282"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</row>
    <row r="283"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</row>
    <row r="284"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</row>
    <row r="285"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</row>
    <row r="286"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</row>
    <row r="287"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</row>
    <row r="288"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</row>
    <row r="289"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</row>
    <row r="290"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</row>
    <row r="291"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</row>
    <row r="292"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</row>
    <row r="293"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</row>
    <row r="294"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</row>
    <row r="295"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</row>
    <row r="296"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</row>
    <row r="297"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</row>
    <row r="298"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</row>
    <row r="299"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</row>
    <row r="300"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</row>
    <row r="301"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</row>
    <row r="302"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</row>
    <row r="303"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</row>
    <row r="304"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</row>
    <row r="305"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</row>
    <row r="306"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</row>
    <row r="307"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</row>
    <row r="308"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</row>
    <row r="309"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</row>
    <row r="310"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</row>
    <row r="311"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</row>
    <row r="312"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</row>
    <row r="313"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</row>
    <row r="314"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</row>
    <row r="315"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</row>
    <row r="316"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</row>
    <row r="317"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</row>
    <row r="318"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</row>
    <row r="319"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</row>
    <row r="320"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</row>
    <row r="321"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</row>
    <row r="322"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</row>
    <row r="323"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</row>
    <row r="324"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</row>
    <row r="325"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</row>
    <row r="326"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</row>
    <row r="327"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</row>
    <row r="328"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</row>
    <row r="329"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</row>
    <row r="330"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</row>
    <row r="331"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</row>
    <row r="332"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</row>
    <row r="333"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</row>
    <row r="334"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</row>
    <row r="335"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</row>
    <row r="336"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</row>
    <row r="337"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</row>
    <row r="338"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</row>
    <row r="339"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</row>
    <row r="340"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</row>
    <row r="341"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</row>
    <row r="342"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</row>
    <row r="343"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</row>
    <row r="344"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</row>
    <row r="345"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</row>
    <row r="346"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</row>
    <row r="347"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</row>
    <row r="348"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</row>
    <row r="349"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</row>
    <row r="350"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</row>
    <row r="351"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</row>
    <row r="352"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</row>
    <row r="353"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</row>
    <row r="354"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</row>
    <row r="355"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</row>
    <row r="356"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</row>
    <row r="357"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</row>
    <row r="358"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</row>
    <row r="359"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</row>
    <row r="360"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</row>
    <row r="361"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</row>
    <row r="362"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</row>
    <row r="363"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</row>
    <row r="364"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</row>
    <row r="365"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</row>
    <row r="366"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</row>
    <row r="367"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</row>
    <row r="368"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</row>
    <row r="369"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</row>
    <row r="370"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</row>
    <row r="371"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</row>
    <row r="372"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</row>
    <row r="373"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</row>
    <row r="374"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</row>
    <row r="375"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</row>
    <row r="376"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</row>
    <row r="377"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</row>
    <row r="378"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</row>
    <row r="379"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</row>
    <row r="380"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</row>
    <row r="381"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</row>
    <row r="382"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</row>
    <row r="383"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</row>
    <row r="384"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</row>
    <row r="385"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</row>
    <row r="386"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</row>
    <row r="387"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</row>
    <row r="388"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</row>
    <row r="389"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</row>
    <row r="390"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</row>
    <row r="391"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</row>
    <row r="392"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</row>
    <row r="393"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</row>
    <row r="394"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</row>
    <row r="395"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</row>
    <row r="396"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</row>
    <row r="397"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</row>
    <row r="398"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</row>
    <row r="399"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</row>
    <row r="400"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</row>
    <row r="401"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</row>
    <row r="402"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</row>
    <row r="403"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</row>
    <row r="404"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</row>
  </sheetData>
  <mergeCells count="14">
    <mergeCell ref="E2:G2"/>
    <mergeCell ref="H2:J2"/>
    <mergeCell ref="K2:M2"/>
    <mergeCell ref="N2:Q2"/>
    <mergeCell ref="R2:W2"/>
    <mergeCell ref="X2:AC2"/>
    <mergeCell ref="AD2:AI2"/>
    <mergeCell ref="E1:G1"/>
    <mergeCell ref="H1:J1"/>
    <mergeCell ref="K1:M1"/>
    <mergeCell ref="N1:Q1"/>
    <mergeCell ref="R1:W1"/>
    <mergeCell ref="X1:AC1"/>
    <mergeCell ref="AD1:AI1"/>
  </mergeCells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9.63"/>
    <col customWidth="1" min="2" max="2" width="17.13"/>
    <col customWidth="1" min="3" max="3" width="17.38"/>
    <col customWidth="1" min="4" max="4" width="11.5"/>
    <col customWidth="1" min="15" max="15" width="10.25"/>
    <col customWidth="1" min="16" max="16" width="11.25"/>
    <col customWidth="1" min="17" max="17" width="8.25"/>
  </cols>
  <sheetData>
    <row r="1">
      <c r="A1" s="1" t="s">
        <v>91</v>
      </c>
      <c r="B1" s="82"/>
      <c r="C1" s="82"/>
      <c r="D1" s="3"/>
      <c r="E1" s="4">
        <v>45803.0</v>
      </c>
      <c r="F1" s="4"/>
      <c r="G1" s="4"/>
      <c r="H1" s="4">
        <v>45870.0</v>
      </c>
      <c r="I1" s="5"/>
      <c r="J1" s="6"/>
      <c r="K1" s="83">
        <v>45992.0</v>
      </c>
      <c r="L1" s="5"/>
      <c r="M1" s="6"/>
      <c r="N1" s="4">
        <v>46023.0</v>
      </c>
      <c r="O1" s="5"/>
      <c r="P1" s="5"/>
      <c r="Q1" s="6"/>
      <c r="R1" s="7"/>
      <c r="S1" s="8"/>
      <c r="T1" s="8"/>
      <c r="U1" s="8"/>
      <c r="V1" s="8"/>
      <c r="W1" s="9"/>
      <c r="X1" s="10">
        <v>45931.0</v>
      </c>
      <c r="Y1" s="11"/>
      <c r="Z1" s="11"/>
      <c r="AA1" s="11"/>
      <c r="AB1" s="11"/>
      <c r="AC1" s="12"/>
      <c r="AD1" s="10">
        <v>45962.0</v>
      </c>
      <c r="AE1" s="11"/>
      <c r="AF1" s="11"/>
      <c r="AG1" s="11"/>
      <c r="AH1" s="11"/>
      <c r="AI1" s="12"/>
    </row>
    <row r="2">
      <c r="A2" s="84"/>
      <c r="B2" s="17"/>
      <c r="C2" s="17"/>
      <c r="D2" s="15"/>
      <c r="E2" s="16" t="s">
        <v>1</v>
      </c>
      <c r="F2" s="16"/>
      <c r="G2" s="16"/>
      <c r="H2" s="16" t="s">
        <v>1</v>
      </c>
      <c r="I2" s="17"/>
      <c r="J2" s="18"/>
      <c r="K2" s="16" t="s">
        <v>1</v>
      </c>
      <c r="L2" s="17"/>
      <c r="M2" s="18"/>
      <c r="N2" s="16" t="s">
        <v>1</v>
      </c>
      <c r="O2" s="17"/>
      <c r="P2" s="17"/>
      <c r="Q2" s="18"/>
      <c r="R2" s="16" t="s">
        <v>1</v>
      </c>
      <c r="S2" s="17"/>
      <c r="T2" s="17"/>
      <c r="U2" s="17"/>
      <c r="V2" s="17"/>
      <c r="W2" s="19"/>
      <c r="X2" s="20" t="s">
        <v>1</v>
      </c>
      <c r="Y2" s="21"/>
      <c r="Z2" s="21"/>
      <c r="AA2" s="21"/>
      <c r="AB2" s="21"/>
      <c r="AC2" s="22"/>
      <c r="AD2" s="20" t="s">
        <v>1</v>
      </c>
      <c r="AE2" s="21"/>
      <c r="AF2" s="21"/>
      <c r="AG2" s="21"/>
      <c r="AH2" s="21"/>
      <c r="AI2" s="22"/>
    </row>
    <row r="3">
      <c r="A3" s="23" t="s">
        <v>2</v>
      </c>
      <c r="B3" s="24" t="s">
        <v>3</v>
      </c>
      <c r="C3" s="24" t="s">
        <v>4</v>
      </c>
      <c r="D3" s="24" t="s">
        <v>5</v>
      </c>
      <c r="E3" s="25" t="s">
        <v>6</v>
      </c>
      <c r="F3" s="25" t="s">
        <v>7</v>
      </c>
      <c r="G3" s="25" t="s">
        <v>8</v>
      </c>
      <c r="H3" s="25" t="s">
        <v>24</v>
      </c>
      <c r="I3" s="24" t="s">
        <v>10</v>
      </c>
      <c r="J3" s="24" t="s">
        <v>11</v>
      </c>
      <c r="K3" s="25" t="s">
        <v>6</v>
      </c>
      <c r="L3" s="25" t="s">
        <v>92</v>
      </c>
      <c r="M3" s="25" t="s">
        <v>13</v>
      </c>
      <c r="N3" s="25" t="s">
        <v>93</v>
      </c>
      <c r="O3" s="25" t="s">
        <v>94</v>
      </c>
      <c r="P3" s="25" t="s">
        <v>95</v>
      </c>
      <c r="Q3" s="25" t="s">
        <v>17</v>
      </c>
      <c r="R3" s="24" t="s">
        <v>18</v>
      </c>
      <c r="S3" s="24" t="s">
        <v>19</v>
      </c>
      <c r="T3" s="24" t="s">
        <v>20</v>
      </c>
      <c r="U3" s="24" t="s">
        <v>21</v>
      </c>
      <c r="V3" s="24" t="s">
        <v>22</v>
      </c>
      <c r="W3" s="26" t="s">
        <v>23</v>
      </c>
      <c r="X3" s="27" t="s">
        <v>24</v>
      </c>
      <c r="Y3" s="27" t="s">
        <v>25</v>
      </c>
      <c r="Z3" s="27" t="s">
        <v>26</v>
      </c>
      <c r="AA3" s="27" t="s">
        <v>27</v>
      </c>
      <c r="AB3" s="28" t="s">
        <v>28</v>
      </c>
      <c r="AC3" s="28" t="s">
        <v>29</v>
      </c>
      <c r="AD3" s="27" t="s">
        <v>24</v>
      </c>
      <c r="AE3" s="27" t="s">
        <v>25</v>
      </c>
      <c r="AF3" s="27" t="s">
        <v>26</v>
      </c>
      <c r="AG3" s="27" t="s">
        <v>27</v>
      </c>
      <c r="AH3" s="28" t="s">
        <v>28</v>
      </c>
      <c r="AI3" s="28" t="s">
        <v>29</v>
      </c>
    </row>
    <row r="4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  <c r="O4" s="31"/>
      <c r="P4" s="31"/>
      <c r="Q4" s="31"/>
      <c r="R4" s="30"/>
      <c r="S4" s="30"/>
      <c r="T4" s="30"/>
      <c r="U4" s="30"/>
      <c r="V4" s="30"/>
      <c r="W4" s="30"/>
      <c r="X4" s="30"/>
      <c r="Y4" s="30"/>
      <c r="Z4" s="30"/>
      <c r="AA4" s="32"/>
      <c r="AB4" s="33"/>
      <c r="AC4" s="33"/>
      <c r="AD4" s="30"/>
      <c r="AE4" s="30"/>
      <c r="AF4" s="30"/>
      <c r="AG4" s="32"/>
      <c r="AH4" s="33"/>
      <c r="AI4" s="33"/>
    </row>
    <row r="5">
      <c r="A5" s="34">
        <v>1.0</v>
      </c>
      <c r="B5" s="48" t="s">
        <v>96</v>
      </c>
      <c r="C5" s="48" t="s">
        <v>97</v>
      </c>
      <c r="D5" s="48">
        <v>900984.0</v>
      </c>
      <c r="E5" s="39">
        <v>13.0</v>
      </c>
      <c r="F5" s="39">
        <v>11.0</v>
      </c>
      <c r="G5" s="39">
        <v>11.0</v>
      </c>
      <c r="H5" s="39">
        <v>7.0</v>
      </c>
      <c r="I5" s="39">
        <v>7.0</v>
      </c>
      <c r="J5" s="39">
        <v>7.0</v>
      </c>
      <c r="K5" s="39">
        <v>18.0</v>
      </c>
      <c r="L5" s="39">
        <v>18.0</v>
      </c>
      <c r="M5" s="39">
        <v>15.0</v>
      </c>
      <c r="N5" s="41" t="s">
        <v>32</v>
      </c>
      <c r="O5" s="41" t="s">
        <v>32</v>
      </c>
      <c r="P5" s="41" t="s">
        <v>32</v>
      </c>
      <c r="Q5" s="41" t="s">
        <v>32</v>
      </c>
      <c r="R5" s="39"/>
      <c r="S5" s="39"/>
      <c r="T5" s="39"/>
      <c r="U5" s="39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</row>
    <row r="6">
      <c r="A6" s="34">
        <v>2.0</v>
      </c>
      <c r="B6" s="48" t="s">
        <v>98</v>
      </c>
      <c r="C6" s="48" t="s">
        <v>99</v>
      </c>
      <c r="D6" s="48">
        <v>900990.0</v>
      </c>
      <c r="E6" s="39" t="s">
        <v>32</v>
      </c>
      <c r="F6" s="39" t="s">
        <v>32</v>
      </c>
      <c r="G6" s="39" t="s">
        <v>32</v>
      </c>
      <c r="H6" s="41" t="s">
        <v>32</v>
      </c>
      <c r="I6" s="41" t="s">
        <v>32</v>
      </c>
      <c r="J6" s="41" t="s">
        <v>32</v>
      </c>
      <c r="K6" s="39">
        <v>15.0</v>
      </c>
      <c r="L6" s="39">
        <v>10.0</v>
      </c>
      <c r="M6" s="39">
        <v>10.0</v>
      </c>
      <c r="N6" s="39">
        <v>26.0</v>
      </c>
      <c r="O6" s="39">
        <v>19.0</v>
      </c>
      <c r="P6" s="39">
        <v>22.0</v>
      </c>
      <c r="Q6" s="39">
        <v>12.0</v>
      </c>
      <c r="R6" s="39"/>
      <c r="S6" s="39"/>
      <c r="T6" s="39"/>
      <c r="U6" s="39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>
      <c r="A7" s="34">
        <v>3.0</v>
      </c>
      <c r="B7" s="48" t="s">
        <v>100</v>
      </c>
      <c r="C7" s="48" t="s">
        <v>101</v>
      </c>
      <c r="D7" s="48">
        <v>901102.0</v>
      </c>
      <c r="E7" s="39" t="s">
        <v>32</v>
      </c>
      <c r="F7" s="39" t="s">
        <v>32</v>
      </c>
      <c r="G7" s="39" t="s">
        <v>32</v>
      </c>
      <c r="H7" s="39">
        <v>7.0</v>
      </c>
      <c r="I7" s="39">
        <v>8.0</v>
      </c>
      <c r="J7" s="39">
        <v>8.0</v>
      </c>
      <c r="K7" s="39">
        <v>18.0</v>
      </c>
      <c r="L7" s="39">
        <v>18.0</v>
      </c>
      <c r="M7" s="39">
        <v>18.0</v>
      </c>
      <c r="N7" s="39">
        <v>26.0</v>
      </c>
      <c r="O7" s="39">
        <v>25.0</v>
      </c>
      <c r="P7" s="39">
        <v>25.0</v>
      </c>
      <c r="Q7" s="39">
        <v>15.0</v>
      </c>
      <c r="R7" s="39"/>
      <c r="S7" s="39"/>
      <c r="T7" s="39"/>
      <c r="U7" s="39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</row>
    <row r="8">
      <c r="A8" s="34">
        <v>4.0</v>
      </c>
      <c r="B8" s="48" t="s">
        <v>102</v>
      </c>
      <c r="C8" s="48" t="s">
        <v>103</v>
      </c>
      <c r="D8" s="48">
        <v>900919.0</v>
      </c>
      <c r="E8" s="41">
        <v>14.0</v>
      </c>
      <c r="F8" s="41">
        <v>15.0</v>
      </c>
      <c r="G8" s="41">
        <v>18.0</v>
      </c>
      <c r="H8" s="39">
        <v>8.0</v>
      </c>
      <c r="I8" s="39">
        <v>8.0</v>
      </c>
      <c r="J8" s="39">
        <v>8.0</v>
      </c>
      <c r="K8" s="39">
        <v>15.0</v>
      </c>
      <c r="L8" s="39">
        <v>18.0</v>
      </c>
      <c r="M8" s="39">
        <v>15.0</v>
      </c>
      <c r="N8" s="40">
        <v>26.0</v>
      </c>
      <c r="O8" s="39">
        <v>25.0</v>
      </c>
      <c r="P8" s="39">
        <v>28.0</v>
      </c>
      <c r="Q8" s="39">
        <v>15.0</v>
      </c>
      <c r="R8" s="39"/>
      <c r="S8" s="39"/>
      <c r="T8" s="39"/>
      <c r="U8" s="39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</row>
    <row r="9">
      <c r="A9" s="34">
        <v>5.0</v>
      </c>
      <c r="B9" s="48" t="s">
        <v>104</v>
      </c>
      <c r="C9" s="48" t="s">
        <v>105</v>
      </c>
      <c r="D9" s="48">
        <v>900995.0</v>
      </c>
      <c r="E9" s="39">
        <v>16.0</v>
      </c>
      <c r="F9" s="39">
        <v>15.0</v>
      </c>
      <c r="G9" s="39">
        <v>17.0</v>
      </c>
      <c r="H9" s="39">
        <v>8.0</v>
      </c>
      <c r="I9" s="39">
        <v>8.0</v>
      </c>
      <c r="J9" s="39">
        <v>8.0</v>
      </c>
      <c r="K9" s="39">
        <v>18.0</v>
      </c>
      <c r="L9" s="39">
        <v>18.0</v>
      </c>
      <c r="M9" s="39">
        <v>15.0</v>
      </c>
      <c r="N9" s="39">
        <v>30.0</v>
      </c>
      <c r="O9" s="39">
        <v>30.0</v>
      </c>
      <c r="P9" s="39">
        <v>38.0</v>
      </c>
      <c r="Q9" s="39">
        <v>15.0</v>
      </c>
      <c r="R9" s="39"/>
      <c r="S9" s="39"/>
      <c r="T9" s="39"/>
      <c r="U9" s="39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</row>
    <row r="10">
      <c r="A10" s="34">
        <v>6.0</v>
      </c>
      <c r="B10" s="34" t="s">
        <v>106</v>
      </c>
      <c r="C10" s="34" t="s">
        <v>107</v>
      </c>
      <c r="D10" s="34">
        <v>901108.0</v>
      </c>
      <c r="E10" s="39">
        <v>16.0</v>
      </c>
      <c r="F10" s="39">
        <v>18.0</v>
      </c>
      <c r="G10" s="39">
        <v>17.0</v>
      </c>
      <c r="H10" s="39">
        <v>10.0</v>
      </c>
      <c r="I10" s="39">
        <v>10.0</v>
      </c>
      <c r="J10" s="39">
        <v>10.0</v>
      </c>
      <c r="K10" s="39">
        <v>18.0</v>
      </c>
      <c r="L10" s="39">
        <v>18.0</v>
      </c>
      <c r="M10" s="39">
        <v>16.0</v>
      </c>
      <c r="N10" s="39">
        <v>29.0</v>
      </c>
      <c r="O10" s="39">
        <v>29.0</v>
      </c>
      <c r="P10" s="39">
        <v>29.0</v>
      </c>
      <c r="Q10" s="40">
        <v>15.0</v>
      </c>
      <c r="R10" s="39"/>
      <c r="S10" s="39"/>
      <c r="T10" s="39"/>
      <c r="U10" s="39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</row>
    <row r="11">
      <c r="A11" s="34">
        <v>7.0</v>
      </c>
      <c r="B11" s="48" t="s">
        <v>108</v>
      </c>
      <c r="C11" s="48" t="s">
        <v>109</v>
      </c>
      <c r="D11" s="48">
        <v>900921.0</v>
      </c>
      <c r="E11" s="39">
        <v>17.0</v>
      </c>
      <c r="F11" s="39">
        <v>18.0</v>
      </c>
      <c r="G11" s="39">
        <v>18.0</v>
      </c>
      <c r="H11" s="39">
        <v>10.0</v>
      </c>
      <c r="I11" s="39">
        <v>10.0</v>
      </c>
      <c r="J11" s="39">
        <v>10.0</v>
      </c>
      <c r="K11" s="39">
        <v>18.0</v>
      </c>
      <c r="L11" s="39">
        <v>18.0</v>
      </c>
      <c r="M11" s="39">
        <v>16.0</v>
      </c>
      <c r="N11" s="39">
        <v>30.0</v>
      </c>
      <c r="O11" s="39">
        <v>30.0</v>
      </c>
      <c r="P11" s="39">
        <v>30.0</v>
      </c>
      <c r="Q11" s="39">
        <v>15.0</v>
      </c>
      <c r="R11" s="39"/>
      <c r="S11" s="39"/>
      <c r="T11" s="39"/>
      <c r="U11" s="39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>
      <c r="A12" s="34">
        <v>8.0</v>
      </c>
      <c r="B12" s="48" t="s">
        <v>110</v>
      </c>
      <c r="C12" s="48" t="s">
        <v>111</v>
      </c>
      <c r="D12" s="48">
        <v>901103.0</v>
      </c>
      <c r="E12" s="39">
        <v>14.0</v>
      </c>
      <c r="F12" s="39">
        <v>12.0</v>
      </c>
      <c r="G12" s="39">
        <v>17.0</v>
      </c>
      <c r="H12" s="39">
        <v>7.0</v>
      </c>
      <c r="I12" s="39">
        <v>7.0</v>
      </c>
      <c r="J12" s="39">
        <v>7.0</v>
      </c>
      <c r="K12" s="39">
        <v>17.0</v>
      </c>
      <c r="L12" s="39">
        <v>18.0</v>
      </c>
      <c r="M12" s="39">
        <v>16.0</v>
      </c>
      <c r="N12" s="39">
        <v>28.0</v>
      </c>
      <c r="O12" s="39">
        <v>25.0</v>
      </c>
      <c r="P12" s="39">
        <v>25.0</v>
      </c>
      <c r="Q12" s="39">
        <v>15.0</v>
      </c>
      <c r="R12" s="39"/>
      <c r="S12" s="39"/>
      <c r="T12" s="39"/>
      <c r="U12" s="39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</row>
    <row r="13">
      <c r="A13" s="34">
        <v>9.0</v>
      </c>
      <c r="B13" s="48" t="s">
        <v>112</v>
      </c>
      <c r="C13" s="48" t="s">
        <v>113</v>
      </c>
      <c r="D13" s="48">
        <v>901121.0</v>
      </c>
      <c r="E13" s="39">
        <v>11.0</v>
      </c>
      <c r="F13" s="39">
        <v>12.0</v>
      </c>
      <c r="G13" s="39">
        <v>10.0</v>
      </c>
      <c r="H13" s="39">
        <v>5.0</v>
      </c>
      <c r="I13" s="39">
        <v>5.0</v>
      </c>
      <c r="J13" s="39">
        <v>5.0</v>
      </c>
      <c r="K13" s="39">
        <v>10.0</v>
      </c>
      <c r="L13" s="41">
        <v>8.0</v>
      </c>
      <c r="M13" s="41">
        <v>8.0</v>
      </c>
      <c r="N13" s="41">
        <v>5.0</v>
      </c>
      <c r="O13" s="41">
        <v>10.0</v>
      </c>
      <c r="P13" s="41">
        <v>10.0</v>
      </c>
      <c r="Q13" s="39">
        <v>10.0</v>
      </c>
      <c r="R13" s="39"/>
      <c r="S13" s="39"/>
      <c r="T13" s="39"/>
      <c r="U13" s="39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</row>
    <row r="14">
      <c r="A14" s="34">
        <v>10.0</v>
      </c>
      <c r="B14" s="34" t="s">
        <v>114</v>
      </c>
      <c r="C14" s="34" t="s">
        <v>115</v>
      </c>
      <c r="D14" s="34">
        <v>900870.0</v>
      </c>
      <c r="E14" s="39">
        <v>13.0</v>
      </c>
      <c r="F14" s="39">
        <v>15.0</v>
      </c>
      <c r="G14" s="39">
        <v>18.0</v>
      </c>
      <c r="H14" s="39">
        <v>5.0</v>
      </c>
      <c r="I14" s="39">
        <v>5.0</v>
      </c>
      <c r="J14" s="39">
        <v>5.0</v>
      </c>
      <c r="K14" s="39">
        <v>18.0</v>
      </c>
      <c r="L14" s="39">
        <v>18.0</v>
      </c>
      <c r="M14" s="39">
        <v>18.0</v>
      </c>
      <c r="N14" s="39">
        <v>25.0</v>
      </c>
      <c r="O14" s="39">
        <v>25.0</v>
      </c>
      <c r="P14" s="39">
        <v>28.0</v>
      </c>
      <c r="Q14" s="39">
        <v>15.0</v>
      </c>
      <c r="R14" s="39"/>
      <c r="S14" s="39"/>
      <c r="T14" s="39"/>
      <c r="U14" s="39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</row>
    <row r="15">
      <c r="A15" s="34">
        <v>11.0</v>
      </c>
      <c r="B15" s="48" t="s">
        <v>116</v>
      </c>
      <c r="C15" s="48" t="s">
        <v>117</v>
      </c>
      <c r="D15" s="48">
        <v>900915.0</v>
      </c>
      <c r="E15" s="39">
        <v>5.0</v>
      </c>
      <c r="F15" s="39">
        <v>3.0</v>
      </c>
      <c r="G15" s="39">
        <v>6.0</v>
      </c>
      <c r="H15" s="41">
        <v>1.0</v>
      </c>
      <c r="I15" s="41">
        <v>1.0</v>
      </c>
      <c r="J15" s="41">
        <v>1.0</v>
      </c>
      <c r="K15" s="41">
        <v>8.0</v>
      </c>
      <c r="L15" s="41">
        <v>5.0</v>
      </c>
      <c r="M15" s="41">
        <v>5.0</v>
      </c>
      <c r="N15" s="41">
        <v>5.0</v>
      </c>
      <c r="O15" s="41">
        <v>5.0</v>
      </c>
      <c r="P15" s="41">
        <v>6.0</v>
      </c>
      <c r="Q15" s="41">
        <v>5.0</v>
      </c>
      <c r="R15" s="39"/>
      <c r="S15" s="39"/>
      <c r="T15" s="39"/>
      <c r="U15" s="39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</row>
    <row r="16">
      <c r="A16" s="34">
        <v>12.0</v>
      </c>
      <c r="B16" s="35" t="s">
        <v>118</v>
      </c>
      <c r="C16" s="35" t="s">
        <v>119</v>
      </c>
      <c r="D16" s="35">
        <v>901052.0</v>
      </c>
      <c r="E16" s="36" t="s">
        <v>32</v>
      </c>
      <c r="F16" s="34">
        <v>19.0</v>
      </c>
      <c r="G16" s="34">
        <v>17.0</v>
      </c>
      <c r="H16" s="39">
        <v>8.0</v>
      </c>
      <c r="I16" s="39">
        <v>8.0</v>
      </c>
      <c r="J16" s="39">
        <v>8.0</v>
      </c>
      <c r="K16" s="39">
        <v>18.0</v>
      </c>
      <c r="L16" s="39">
        <v>18.0</v>
      </c>
      <c r="M16" s="39">
        <v>16.0</v>
      </c>
      <c r="N16" s="39">
        <v>29.0</v>
      </c>
      <c r="O16" s="39">
        <v>29.0</v>
      </c>
      <c r="P16" s="39">
        <v>29.0</v>
      </c>
      <c r="Q16" s="39">
        <v>15.0</v>
      </c>
      <c r="R16" s="39"/>
      <c r="S16" s="39"/>
      <c r="T16" s="39"/>
      <c r="U16" s="39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>
      <c r="A17" s="34">
        <v>13.0</v>
      </c>
      <c r="B17" s="34" t="s">
        <v>120</v>
      </c>
      <c r="C17" s="34" t="s">
        <v>119</v>
      </c>
      <c r="D17" s="52">
        <v>900694.0</v>
      </c>
      <c r="E17" s="42"/>
      <c r="F17" s="42"/>
      <c r="G17" s="42"/>
      <c r="H17" s="39">
        <v>8.0</v>
      </c>
      <c r="I17" s="39">
        <v>8.0</v>
      </c>
      <c r="J17" s="39">
        <v>8.0</v>
      </c>
      <c r="K17" s="39">
        <v>18.0</v>
      </c>
      <c r="L17" s="39">
        <v>18.0</v>
      </c>
      <c r="M17" s="39">
        <v>16.0</v>
      </c>
      <c r="N17" s="39">
        <v>29.0</v>
      </c>
      <c r="O17" s="39">
        <v>29.0</v>
      </c>
      <c r="P17" s="39">
        <v>29.0</v>
      </c>
      <c r="Q17" s="39">
        <v>18.0</v>
      </c>
      <c r="R17" s="39"/>
      <c r="S17" s="39"/>
      <c r="T17" s="39"/>
      <c r="U17" s="39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</row>
    <row r="18">
      <c r="A18" s="85">
        <v>14.0</v>
      </c>
      <c r="B18" s="48" t="s">
        <v>121</v>
      </c>
      <c r="C18" s="48" t="s">
        <v>122</v>
      </c>
      <c r="D18" s="48">
        <v>900935.0</v>
      </c>
      <c r="E18" s="39">
        <v>15.0</v>
      </c>
      <c r="F18" s="39">
        <v>18.0</v>
      </c>
      <c r="G18" s="39">
        <v>15.0</v>
      </c>
      <c r="H18" s="39">
        <v>9.0</v>
      </c>
      <c r="I18" s="39">
        <v>7.0</v>
      </c>
      <c r="J18" s="46"/>
      <c r="K18" s="46">
        <v>10.0</v>
      </c>
      <c r="L18" s="46">
        <v>10.0</v>
      </c>
      <c r="M18" s="46">
        <v>10.0</v>
      </c>
      <c r="N18" s="46">
        <v>20.0</v>
      </c>
      <c r="O18" s="46">
        <v>25.0</v>
      </c>
      <c r="P18" s="46">
        <v>25.0</v>
      </c>
      <c r="Q18" s="46">
        <v>15.0</v>
      </c>
      <c r="R18" s="46"/>
      <c r="S18" s="46"/>
      <c r="T18" s="46"/>
      <c r="U18" s="47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</row>
    <row r="19">
      <c r="A19" s="34">
        <v>15.0</v>
      </c>
      <c r="B19" s="48" t="s">
        <v>123</v>
      </c>
      <c r="C19" s="48" t="s">
        <v>124</v>
      </c>
      <c r="D19" s="48">
        <v>901155.0</v>
      </c>
      <c r="E19" s="41">
        <v>19.5</v>
      </c>
      <c r="F19" s="41">
        <v>16.0</v>
      </c>
      <c r="G19" s="41">
        <v>19.5</v>
      </c>
      <c r="H19" s="39">
        <v>9.0</v>
      </c>
      <c r="I19" s="39">
        <v>9.0</v>
      </c>
      <c r="J19" s="46"/>
      <c r="K19" s="46">
        <v>10.0</v>
      </c>
      <c r="L19" s="46">
        <v>12.0</v>
      </c>
      <c r="M19" s="46">
        <v>12.0</v>
      </c>
      <c r="N19" s="46">
        <v>23.0</v>
      </c>
      <c r="O19" s="46">
        <v>25.0</v>
      </c>
      <c r="P19" s="46">
        <v>25.0</v>
      </c>
      <c r="Q19" s="46">
        <v>15.0</v>
      </c>
      <c r="R19" s="46"/>
      <c r="S19" s="46"/>
      <c r="T19" s="46"/>
      <c r="U19" s="47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</row>
    <row r="20">
      <c r="A20" s="34">
        <v>16.0</v>
      </c>
      <c r="B20" s="34" t="s">
        <v>125</v>
      </c>
      <c r="C20" s="34"/>
      <c r="D20" s="52">
        <v>901009.0</v>
      </c>
      <c r="E20" s="42"/>
      <c r="F20" s="42"/>
      <c r="G20" s="42"/>
      <c r="H20" s="39"/>
      <c r="I20" s="39"/>
      <c r="J20" s="39"/>
      <c r="K20" s="39">
        <v>18.0</v>
      </c>
      <c r="L20" s="39">
        <v>18.0</v>
      </c>
      <c r="M20" s="39">
        <v>16.0</v>
      </c>
      <c r="N20" s="39">
        <v>30.0</v>
      </c>
      <c r="O20" s="39">
        <v>30.0</v>
      </c>
      <c r="P20" s="39">
        <v>30.0</v>
      </c>
      <c r="Q20" s="39">
        <v>15.0</v>
      </c>
      <c r="R20" s="39"/>
      <c r="S20" s="39"/>
      <c r="T20" s="39"/>
      <c r="U20" s="39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</row>
    <row r="21">
      <c r="A21" s="34">
        <v>17.0</v>
      </c>
      <c r="B21" s="34" t="s">
        <v>126</v>
      </c>
      <c r="C21" s="34"/>
      <c r="D21" s="52">
        <v>901215.0</v>
      </c>
      <c r="E21" s="42"/>
      <c r="F21" s="42"/>
      <c r="G21" s="42"/>
      <c r="H21" s="39"/>
      <c r="I21" s="39"/>
      <c r="J21" s="39"/>
      <c r="K21" s="39" t="s">
        <v>127</v>
      </c>
      <c r="L21" s="39" t="s">
        <v>127</v>
      </c>
      <c r="M21" s="39" t="s">
        <v>127</v>
      </c>
      <c r="N21" s="41" t="s">
        <v>32</v>
      </c>
      <c r="O21" s="41" t="s">
        <v>32</v>
      </c>
      <c r="P21" s="41" t="s">
        <v>32</v>
      </c>
      <c r="Q21" s="41" t="s">
        <v>32</v>
      </c>
      <c r="R21" s="39"/>
      <c r="S21" s="39"/>
      <c r="T21" s="39"/>
      <c r="U21" s="39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>
      <c r="A22" s="34">
        <v>18.0</v>
      </c>
      <c r="B22" s="34" t="s">
        <v>128</v>
      </c>
      <c r="C22" s="34"/>
      <c r="D22" s="52">
        <v>901249.0</v>
      </c>
      <c r="E22" s="42"/>
      <c r="F22" s="42"/>
      <c r="G22" s="42"/>
      <c r="H22" s="39"/>
      <c r="I22" s="39"/>
      <c r="J22" s="39"/>
      <c r="K22" s="39" t="s">
        <v>127</v>
      </c>
      <c r="L22" s="39" t="s">
        <v>127</v>
      </c>
      <c r="M22" s="39" t="s">
        <v>127</v>
      </c>
      <c r="N22" s="39">
        <v>18.0</v>
      </c>
      <c r="O22" s="39">
        <v>15.0</v>
      </c>
      <c r="P22" s="39">
        <v>18.0</v>
      </c>
      <c r="Q22" s="39">
        <v>10.0</v>
      </c>
      <c r="R22" s="39"/>
      <c r="S22" s="39"/>
      <c r="T22" s="39"/>
      <c r="U22" s="39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</row>
    <row r="23">
      <c r="A23" s="34">
        <v>19.0</v>
      </c>
      <c r="B23" s="34" t="s">
        <v>129</v>
      </c>
      <c r="C23" s="34"/>
      <c r="D23" s="52">
        <v>901245.0</v>
      </c>
      <c r="E23" s="42"/>
      <c r="F23" s="42"/>
      <c r="G23" s="42"/>
      <c r="H23" s="39"/>
      <c r="I23" s="39"/>
      <c r="J23" s="39"/>
      <c r="K23" s="39" t="s">
        <v>127</v>
      </c>
      <c r="L23" s="39" t="s">
        <v>127</v>
      </c>
      <c r="M23" s="39" t="s">
        <v>127</v>
      </c>
      <c r="N23" s="41" t="s">
        <v>32</v>
      </c>
      <c r="O23" s="41" t="s">
        <v>32</v>
      </c>
      <c r="P23" s="41" t="s">
        <v>32</v>
      </c>
      <c r="Q23" s="41" t="s">
        <v>32</v>
      </c>
      <c r="R23" s="39"/>
      <c r="S23" s="39"/>
      <c r="T23" s="39"/>
      <c r="U23" s="39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</row>
    <row r="24">
      <c r="A24" s="34">
        <v>20.0</v>
      </c>
      <c r="B24" s="34" t="s">
        <v>130</v>
      </c>
      <c r="C24" s="34"/>
      <c r="D24" s="52">
        <v>901243.0</v>
      </c>
      <c r="E24" s="42"/>
      <c r="F24" s="42"/>
      <c r="G24" s="42"/>
      <c r="H24" s="39"/>
      <c r="I24" s="39"/>
      <c r="J24" s="39"/>
      <c r="K24" s="39" t="s">
        <v>127</v>
      </c>
      <c r="L24" s="39" t="s">
        <v>127</v>
      </c>
      <c r="M24" s="39" t="s">
        <v>127</v>
      </c>
      <c r="N24" s="39">
        <v>19.0</v>
      </c>
      <c r="O24" s="39">
        <v>17.0</v>
      </c>
      <c r="P24" s="39">
        <v>18.0</v>
      </c>
      <c r="Q24" s="39">
        <v>12.0</v>
      </c>
      <c r="R24" s="39"/>
      <c r="S24" s="39"/>
      <c r="T24" s="39"/>
      <c r="U24" s="39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</row>
    <row r="25">
      <c r="A25" s="34">
        <v>21.0</v>
      </c>
      <c r="B25" s="34" t="s">
        <v>131</v>
      </c>
      <c r="C25" s="34"/>
      <c r="D25" s="52">
        <v>900822.0</v>
      </c>
      <c r="E25" s="42"/>
      <c r="F25" s="42"/>
      <c r="G25" s="42"/>
      <c r="H25" s="39"/>
      <c r="I25" s="39"/>
      <c r="J25" s="39"/>
      <c r="K25" s="39" t="s">
        <v>127</v>
      </c>
      <c r="L25" s="39" t="s">
        <v>127</v>
      </c>
      <c r="M25" s="39" t="s">
        <v>127</v>
      </c>
      <c r="N25" s="41">
        <v>5.0</v>
      </c>
      <c r="O25" s="41">
        <v>5.0</v>
      </c>
      <c r="P25" s="41">
        <v>5.0</v>
      </c>
      <c r="Q25" s="41">
        <v>8.0</v>
      </c>
      <c r="R25" s="39"/>
      <c r="S25" s="39"/>
      <c r="T25" s="39"/>
      <c r="U25" s="39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</row>
    <row r="26">
      <c r="A26" s="34">
        <v>22.0</v>
      </c>
      <c r="B26" s="34" t="s">
        <v>132</v>
      </c>
      <c r="C26" s="34"/>
      <c r="D26" s="52">
        <v>901251.0</v>
      </c>
      <c r="E26" s="42"/>
      <c r="F26" s="42"/>
      <c r="G26" s="42"/>
      <c r="H26" s="39"/>
      <c r="I26" s="39"/>
      <c r="J26" s="39"/>
      <c r="K26" s="39" t="s">
        <v>127</v>
      </c>
      <c r="L26" s="39" t="s">
        <v>127</v>
      </c>
      <c r="M26" s="39" t="s">
        <v>127</v>
      </c>
      <c r="N26" s="39">
        <v>25.0</v>
      </c>
      <c r="O26" s="39">
        <v>25.0</v>
      </c>
      <c r="P26" s="39">
        <v>20.0</v>
      </c>
      <c r="Q26" s="39">
        <v>15.0</v>
      </c>
      <c r="R26" s="39"/>
      <c r="S26" s="39"/>
      <c r="T26" s="39"/>
      <c r="U26" s="39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>
      <c r="A27" s="34">
        <v>23.0</v>
      </c>
      <c r="B27" s="34" t="s">
        <v>133</v>
      </c>
      <c r="C27" s="34"/>
      <c r="D27" s="52">
        <v>901172.0</v>
      </c>
      <c r="E27" s="42"/>
      <c r="F27" s="42"/>
      <c r="G27" s="42"/>
      <c r="H27" s="39"/>
      <c r="I27" s="39"/>
      <c r="J27" s="39"/>
      <c r="K27" s="39" t="s">
        <v>127</v>
      </c>
      <c r="L27" s="39" t="s">
        <v>127</v>
      </c>
      <c r="M27" s="39" t="s">
        <v>127</v>
      </c>
      <c r="N27" s="41">
        <v>13.0</v>
      </c>
      <c r="O27" s="39">
        <v>15.0</v>
      </c>
      <c r="P27" s="39">
        <v>17.0</v>
      </c>
      <c r="Q27" s="39">
        <v>12.0</v>
      </c>
      <c r="R27" s="39"/>
      <c r="S27" s="39"/>
      <c r="T27" s="39"/>
      <c r="U27" s="39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</row>
    <row r="28">
      <c r="A28" s="34">
        <v>24.0</v>
      </c>
      <c r="B28" s="34" t="s">
        <v>134</v>
      </c>
      <c r="C28" s="34"/>
      <c r="D28" s="52">
        <v>901120.0</v>
      </c>
      <c r="E28" s="42"/>
      <c r="F28" s="42"/>
      <c r="G28" s="42"/>
      <c r="H28" s="39"/>
      <c r="I28" s="39"/>
      <c r="J28" s="39"/>
      <c r="K28" s="39" t="s">
        <v>135</v>
      </c>
      <c r="L28" s="39" t="s">
        <v>135</v>
      </c>
      <c r="M28" s="39" t="s">
        <v>135</v>
      </c>
      <c r="N28" s="39">
        <v>15.0</v>
      </c>
      <c r="O28" s="39">
        <v>13.0</v>
      </c>
      <c r="P28" s="39">
        <v>17.0</v>
      </c>
      <c r="Q28" s="39">
        <v>10.0</v>
      </c>
      <c r="R28" s="39"/>
      <c r="S28" s="39"/>
      <c r="T28" s="39"/>
      <c r="U28" s="39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</row>
    <row r="29">
      <c r="A29" s="34">
        <v>25.0</v>
      </c>
      <c r="B29" s="34" t="s">
        <v>136</v>
      </c>
      <c r="C29" s="34"/>
      <c r="D29" s="52">
        <v>901159.0</v>
      </c>
      <c r="E29" s="42"/>
      <c r="F29" s="42"/>
      <c r="G29" s="42"/>
      <c r="H29" s="39"/>
      <c r="I29" s="39"/>
      <c r="J29" s="39"/>
      <c r="K29" s="39" t="s">
        <v>135</v>
      </c>
      <c r="L29" s="39" t="s">
        <v>135</v>
      </c>
      <c r="M29" s="39" t="s">
        <v>135</v>
      </c>
      <c r="N29" s="41" t="s">
        <v>32</v>
      </c>
      <c r="O29" s="41" t="s">
        <v>32</v>
      </c>
      <c r="P29" s="41" t="s">
        <v>32</v>
      </c>
      <c r="Q29" s="41" t="s">
        <v>32</v>
      </c>
      <c r="R29" s="39"/>
      <c r="S29" s="39"/>
      <c r="T29" s="39"/>
      <c r="U29" s="39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</row>
    <row r="30">
      <c r="A30" s="34">
        <v>26.0</v>
      </c>
      <c r="B30" s="34" t="s">
        <v>137</v>
      </c>
      <c r="C30" s="34"/>
      <c r="D30" s="52">
        <v>901217.0</v>
      </c>
      <c r="E30" s="42"/>
      <c r="F30" s="42"/>
      <c r="G30" s="42"/>
      <c r="H30" s="39"/>
      <c r="I30" s="39"/>
      <c r="J30" s="39"/>
      <c r="K30" s="39" t="s">
        <v>135</v>
      </c>
      <c r="L30" s="39" t="s">
        <v>135</v>
      </c>
      <c r="M30" s="39" t="s">
        <v>135</v>
      </c>
      <c r="N30" s="41" t="s">
        <v>32</v>
      </c>
      <c r="O30" s="41" t="s">
        <v>32</v>
      </c>
      <c r="P30" s="41" t="s">
        <v>32</v>
      </c>
      <c r="Q30" s="41" t="s">
        <v>32</v>
      </c>
      <c r="R30" s="39"/>
      <c r="S30" s="39"/>
      <c r="T30" s="39"/>
      <c r="U30" s="39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</row>
    <row r="31">
      <c r="A31" s="34">
        <v>27.0</v>
      </c>
      <c r="B31" s="34" t="s">
        <v>138</v>
      </c>
      <c r="C31" s="34"/>
      <c r="D31" s="34">
        <v>901174.0</v>
      </c>
      <c r="E31" s="49"/>
      <c r="F31" s="49"/>
      <c r="G31" s="49"/>
      <c r="H31" s="50"/>
      <c r="I31" s="46"/>
      <c r="J31" s="46"/>
      <c r="K31" s="43" t="s">
        <v>32</v>
      </c>
      <c r="L31" s="43" t="s">
        <v>32</v>
      </c>
      <c r="M31" s="43" t="s">
        <v>32</v>
      </c>
      <c r="N31" s="46">
        <v>18.0</v>
      </c>
      <c r="O31" s="46">
        <v>12.0</v>
      </c>
      <c r="P31" s="46">
        <v>15.0</v>
      </c>
      <c r="Q31" s="46">
        <v>10.0</v>
      </c>
      <c r="R31" s="46"/>
      <c r="S31" s="46"/>
      <c r="T31" s="46"/>
      <c r="U31" s="46"/>
      <c r="V31" s="47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>
      <c r="A32" s="39">
        <v>28.0</v>
      </c>
      <c r="B32" s="34" t="s">
        <v>139</v>
      </c>
      <c r="C32" s="34"/>
      <c r="D32" s="86"/>
      <c r="E32" s="58"/>
      <c r="F32" s="58"/>
      <c r="G32" s="58"/>
      <c r="H32" s="62"/>
      <c r="I32" s="62"/>
      <c r="J32" s="62"/>
      <c r="K32" s="64"/>
      <c r="L32" s="64"/>
      <c r="M32" s="64"/>
      <c r="N32" s="43">
        <v>8.0</v>
      </c>
      <c r="O32" s="43">
        <v>7.0</v>
      </c>
      <c r="P32" s="43">
        <v>10.0</v>
      </c>
      <c r="Q32" s="43">
        <v>5.0</v>
      </c>
      <c r="R32" s="39"/>
      <c r="S32" s="39"/>
      <c r="T32" s="39"/>
      <c r="U32" s="39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</row>
    <row r="33">
      <c r="A33" s="39"/>
      <c r="B33" s="34"/>
      <c r="C33" s="34"/>
      <c r="D33" s="86"/>
      <c r="E33" s="58"/>
      <c r="F33" s="58"/>
      <c r="G33" s="58"/>
      <c r="H33" s="62"/>
      <c r="I33" s="62"/>
      <c r="J33" s="62"/>
      <c r="K33" s="64"/>
      <c r="L33" s="64"/>
      <c r="M33" s="64"/>
      <c r="N33" s="87"/>
      <c r="O33" s="87"/>
      <c r="P33" s="87"/>
      <c r="Q33" s="87"/>
      <c r="R33" s="39"/>
      <c r="S33" s="39"/>
      <c r="T33" s="39"/>
      <c r="U33" s="39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r="34">
      <c r="A34" s="39"/>
      <c r="B34" s="34"/>
      <c r="C34" s="34"/>
      <c r="D34" s="86" t="s">
        <v>85</v>
      </c>
      <c r="E34" s="58">
        <f t="shared" ref="E34:G34" si="1">SUM(E5:E15)</f>
        <v>119</v>
      </c>
      <c r="F34" s="58">
        <f t="shared" si="1"/>
        <v>119</v>
      </c>
      <c r="G34" s="58">
        <f t="shared" si="1"/>
        <v>132</v>
      </c>
      <c r="H34" s="62">
        <f t="shared" ref="H34:J34" si="2">sum(H5:H17)</f>
        <v>84</v>
      </c>
      <c r="I34" s="62">
        <f t="shared" si="2"/>
        <v>85</v>
      </c>
      <c r="J34" s="62">
        <f t="shared" si="2"/>
        <v>85</v>
      </c>
      <c r="K34" s="64">
        <f t="shared" ref="K34:L34" si="3">sum(K5:K30)</f>
        <v>247</v>
      </c>
      <c r="L34" s="64">
        <f t="shared" si="3"/>
        <v>243</v>
      </c>
      <c r="M34" s="64">
        <f t="shared" ref="M34:Q34" si="4">sum(M5:M32)</f>
        <v>222</v>
      </c>
      <c r="N34" s="64">
        <f t="shared" si="4"/>
        <v>482</v>
      </c>
      <c r="O34" s="64">
        <f t="shared" si="4"/>
        <v>470</v>
      </c>
      <c r="P34" s="64">
        <f t="shared" si="4"/>
        <v>499</v>
      </c>
      <c r="Q34" s="64">
        <f t="shared" si="4"/>
        <v>292</v>
      </c>
      <c r="R34" s="39"/>
      <c r="S34" s="39"/>
      <c r="T34" s="39"/>
      <c r="U34" s="39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>
      <c r="A35" s="39"/>
      <c r="B35" s="34"/>
      <c r="C35" s="34"/>
      <c r="D35" s="86" t="s">
        <v>86</v>
      </c>
      <c r="E35" s="88">
        <f t="shared" ref="E35:Q35" si="5">E34/E39</f>
        <v>6.611111111</v>
      </c>
      <c r="F35" s="88">
        <f t="shared" si="5"/>
        <v>6.611111111</v>
      </c>
      <c r="G35" s="88">
        <f t="shared" si="5"/>
        <v>7.333333333</v>
      </c>
      <c r="H35" s="89">
        <f t="shared" si="5"/>
        <v>6</v>
      </c>
      <c r="I35" s="89">
        <f t="shared" si="5"/>
        <v>6.071428571</v>
      </c>
      <c r="J35" s="89">
        <f t="shared" si="5"/>
        <v>6.071428571</v>
      </c>
      <c r="K35" s="90">
        <f t="shared" si="5"/>
        <v>15.4375</v>
      </c>
      <c r="L35" s="90">
        <f t="shared" si="5"/>
        <v>15.1875</v>
      </c>
      <c r="M35" s="90">
        <f t="shared" si="5"/>
        <v>13.875</v>
      </c>
      <c r="N35" s="91">
        <f t="shared" si="5"/>
        <v>20.95652174</v>
      </c>
      <c r="O35" s="91">
        <f t="shared" si="5"/>
        <v>20.43478261</v>
      </c>
      <c r="P35" s="91">
        <f t="shared" si="5"/>
        <v>21.69565217</v>
      </c>
      <c r="Q35" s="91">
        <f t="shared" si="5"/>
        <v>12.69565217</v>
      </c>
      <c r="R35" s="39"/>
      <c r="S35" s="39"/>
      <c r="T35" s="39"/>
      <c r="U35" s="39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>
      <c r="A36" s="39"/>
      <c r="B36" s="34"/>
      <c r="C36" s="34"/>
      <c r="D36" s="86" t="s">
        <v>87</v>
      </c>
      <c r="E36" s="92">
        <v>27.0</v>
      </c>
      <c r="F36" s="92">
        <v>27.0</v>
      </c>
      <c r="G36" s="92">
        <v>27.0</v>
      </c>
      <c r="H36" s="62">
        <v>15.0</v>
      </c>
      <c r="I36" s="62">
        <v>15.0</v>
      </c>
      <c r="J36" s="62">
        <v>15.0</v>
      </c>
      <c r="K36" s="64">
        <v>26.0</v>
      </c>
      <c r="L36" s="64">
        <v>26.0</v>
      </c>
      <c r="M36" s="64">
        <v>26.0</v>
      </c>
      <c r="N36" s="62">
        <v>28.0</v>
      </c>
      <c r="O36" s="62">
        <v>28.0</v>
      </c>
      <c r="P36" s="62">
        <v>28.0</v>
      </c>
      <c r="Q36" s="62">
        <v>28.0</v>
      </c>
      <c r="R36" s="39"/>
      <c r="S36" s="39"/>
      <c r="T36" s="39"/>
      <c r="U36" s="39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>
      <c r="D37" s="61" t="s">
        <v>88</v>
      </c>
      <c r="E37" s="92">
        <v>15.0</v>
      </c>
      <c r="F37" s="92">
        <v>15.0</v>
      </c>
      <c r="G37" s="92">
        <v>15.0</v>
      </c>
      <c r="H37" s="62">
        <v>12.0</v>
      </c>
      <c r="I37" s="62">
        <v>11.0</v>
      </c>
      <c r="J37" s="62">
        <v>11.0</v>
      </c>
      <c r="K37" s="64">
        <v>15.0</v>
      </c>
      <c r="L37" s="64">
        <v>14.0</v>
      </c>
      <c r="M37" s="64">
        <v>14.0</v>
      </c>
      <c r="N37" s="62">
        <v>18.0</v>
      </c>
      <c r="O37" s="62">
        <v>19.0</v>
      </c>
      <c r="P37" s="62">
        <v>19.0</v>
      </c>
      <c r="Q37" s="62">
        <v>20.0</v>
      </c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>
      <c r="D38" s="61" t="s">
        <v>89</v>
      </c>
      <c r="E38" s="92">
        <v>3.0</v>
      </c>
      <c r="F38" s="92">
        <v>3.0</v>
      </c>
      <c r="G38" s="92">
        <v>3.0</v>
      </c>
      <c r="H38" s="62">
        <v>2.0</v>
      </c>
      <c r="I38" s="62">
        <v>3.0</v>
      </c>
      <c r="J38" s="62">
        <v>3.0</v>
      </c>
      <c r="K38" s="93">
        <v>1.0</v>
      </c>
      <c r="L38" s="93">
        <v>2.0</v>
      </c>
      <c r="M38" s="93">
        <v>2.0</v>
      </c>
      <c r="N38" s="94">
        <v>5.0</v>
      </c>
      <c r="O38" s="94">
        <v>4.0</v>
      </c>
      <c r="P38" s="94">
        <v>4.0</v>
      </c>
      <c r="Q38" s="94">
        <v>3.0</v>
      </c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>
      <c r="D39" s="61" t="s">
        <v>90</v>
      </c>
      <c r="E39" s="92">
        <v>18.0</v>
      </c>
      <c r="F39" s="92">
        <v>18.0</v>
      </c>
      <c r="G39" s="92">
        <v>18.0</v>
      </c>
      <c r="H39" s="62">
        <v>14.0</v>
      </c>
      <c r="I39" s="62">
        <v>14.0</v>
      </c>
      <c r="J39" s="62">
        <v>14.0</v>
      </c>
      <c r="K39" s="64">
        <v>16.0</v>
      </c>
      <c r="L39" s="64">
        <v>16.0</v>
      </c>
      <c r="M39" s="64">
        <v>16.0</v>
      </c>
      <c r="N39" s="62">
        <v>23.0</v>
      </c>
      <c r="O39" s="62">
        <v>23.0</v>
      </c>
      <c r="P39" s="62">
        <v>23.0</v>
      </c>
      <c r="Q39" s="62">
        <v>23.0</v>
      </c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</row>
    <row r="40">
      <c r="A40" s="81"/>
      <c r="B40" s="95"/>
      <c r="C40" s="96"/>
      <c r="D40" s="96"/>
      <c r="E40" s="70"/>
      <c r="F40" s="70"/>
      <c r="G40" s="70"/>
      <c r="H40" s="67"/>
      <c r="I40" s="67"/>
      <c r="J40" s="67"/>
      <c r="K40" s="68"/>
      <c r="L40" s="68"/>
      <c r="M40" s="68"/>
      <c r="N40" s="67"/>
      <c r="O40" s="67"/>
      <c r="P40" s="67"/>
      <c r="Q40" s="67"/>
      <c r="R40" s="78"/>
      <c r="S40" s="52"/>
      <c r="T40" s="78"/>
      <c r="U40" s="9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</row>
    <row r="41">
      <c r="A41" s="81"/>
      <c r="B41" s="98"/>
      <c r="C41" s="66"/>
      <c r="D41" s="66"/>
      <c r="E41" s="66"/>
      <c r="F41" s="66"/>
      <c r="G41" s="66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4"/>
      <c r="S41" s="74"/>
      <c r="T41" s="74"/>
      <c r="U41" s="74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</row>
    <row r="42">
      <c r="B42" s="98"/>
      <c r="C42" s="66"/>
      <c r="D42" s="66"/>
      <c r="E42" s="66"/>
      <c r="F42" s="66"/>
      <c r="G42" s="66"/>
      <c r="H42" s="66"/>
      <c r="I42" s="66"/>
      <c r="J42" s="87"/>
      <c r="K42" s="66"/>
      <c r="L42" s="66"/>
      <c r="M42" s="87"/>
      <c r="N42" s="99"/>
      <c r="O42" s="99"/>
      <c r="P42" s="99"/>
      <c r="Q42" s="100"/>
      <c r="R42" s="78"/>
      <c r="S42" s="78"/>
      <c r="T42" s="78"/>
      <c r="U42" s="101"/>
      <c r="V42" s="47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r="43">
      <c r="B43" s="77"/>
      <c r="C43" s="66"/>
      <c r="D43" s="66"/>
      <c r="E43" s="66"/>
      <c r="F43" s="66"/>
      <c r="G43" s="66"/>
      <c r="H43" s="78"/>
      <c r="I43" s="78"/>
      <c r="J43" s="46"/>
      <c r="K43" s="78"/>
      <c r="L43" s="78"/>
      <c r="M43" s="46"/>
      <c r="N43" s="78"/>
      <c r="O43" s="78"/>
      <c r="P43" s="79"/>
      <c r="Q43" s="79"/>
      <c r="R43" s="102"/>
      <c r="S43" s="102"/>
      <c r="T43" s="102"/>
      <c r="U43" s="102"/>
      <c r="V43" s="47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</row>
    <row r="44">
      <c r="B44" s="77"/>
      <c r="C44" s="66"/>
      <c r="D44" s="66"/>
      <c r="E44" s="66"/>
      <c r="F44" s="66"/>
      <c r="G44" s="66"/>
      <c r="H44" s="78"/>
      <c r="I44" s="78"/>
      <c r="J44" s="46"/>
      <c r="K44" s="78"/>
      <c r="L44" s="78"/>
      <c r="M44" s="46"/>
      <c r="N44" s="78"/>
      <c r="O44" s="78"/>
      <c r="P44" s="79"/>
      <c r="Q44" s="79"/>
      <c r="R44" s="102"/>
      <c r="S44" s="102"/>
      <c r="T44" s="102"/>
      <c r="U44" s="102"/>
      <c r="V44" s="47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</row>
    <row r="45">
      <c r="B45" s="77"/>
      <c r="C45" s="66"/>
      <c r="D45" s="66"/>
      <c r="E45" s="66"/>
      <c r="F45" s="66"/>
      <c r="G45" s="66"/>
      <c r="H45" s="78"/>
      <c r="I45" s="78"/>
      <c r="J45" s="46"/>
      <c r="K45" s="78"/>
      <c r="L45" s="78"/>
      <c r="M45" s="46"/>
      <c r="N45" s="78"/>
      <c r="O45" s="78"/>
      <c r="P45" s="79"/>
      <c r="Q45" s="79"/>
      <c r="R45" s="102"/>
      <c r="S45" s="102"/>
      <c r="T45" s="102"/>
      <c r="U45" s="102"/>
      <c r="V45" s="47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</row>
    <row r="46">
      <c r="B46" s="77"/>
      <c r="C46" s="66"/>
      <c r="D46" s="66"/>
      <c r="E46" s="66"/>
      <c r="F46" s="66"/>
      <c r="G46" s="66"/>
      <c r="H46" s="78"/>
      <c r="I46" s="78"/>
      <c r="J46" s="46"/>
      <c r="K46" s="78"/>
      <c r="L46" s="78"/>
      <c r="M46" s="46"/>
      <c r="N46" s="78"/>
      <c r="O46" s="78"/>
      <c r="P46" s="78"/>
      <c r="Q46" s="78"/>
      <c r="R46" s="81"/>
      <c r="S46" s="81"/>
      <c r="T46" s="81"/>
      <c r="U46" s="81"/>
      <c r="V46" s="47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>
      <c r="B47" s="66"/>
      <c r="C47" s="66"/>
      <c r="D47" s="66"/>
      <c r="E47" s="66"/>
      <c r="F47" s="66"/>
      <c r="G47" s="66"/>
      <c r="H47" s="66"/>
      <c r="I47" s="66"/>
      <c r="J47" s="80"/>
      <c r="K47" s="66"/>
      <c r="L47" s="66"/>
      <c r="M47" s="80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</row>
    <row r="48">
      <c r="B48" s="81"/>
      <c r="C48" s="81"/>
      <c r="D48" s="81"/>
      <c r="E48" s="81"/>
      <c r="F48" s="81"/>
      <c r="G48" s="81"/>
      <c r="H48" s="81"/>
      <c r="I48" s="81"/>
      <c r="K48" s="81"/>
      <c r="L48" s="81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</row>
    <row r="49"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</row>
    <row r="51"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</row>
    <row r="53"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</row>
    <row r="54"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</row>
    <row r="55"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</row>
    <row r="56"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>
      <c r="I69" s="103" t="s">
        <v>140</v>
      </c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  <row r="116"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</row>
    <row r="117"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</row>
    <row r="118"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</row>
    <row r="119"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</row>
    <row r="120"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</row>
    <row r="121"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</row>
    <row r="122"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</row>
    <row r="123"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</row>
    <row r="124"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</row>
    <row r="125"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</row>
    <row r="126"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</row>
    <row r="127"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</row>
    <row r="128"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</row>
    <row r="129"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</row>
    <row r="130"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</row>
    <row r="131"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</row>
    <row r="132"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</row>
    <row r="133"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</row>
    <row r="134"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</row>
    <row r="135"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</row>
    <row r="136"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</row>
    <row r="137"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</row>
    <row r="138"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</row>
    <row r="139"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</row>
    <row r="140"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</row>
    <row r="141"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</row>
    <row r="142"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</row>
    <row r="143"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</row>
    <row r="144"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</row>
    <row r="145"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</row>
    <row r="146"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</row>
    <row r="147"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</row>
    <row r="148"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</row>
    <row r="149"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</row>
    <row r="150"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</row>
    <row r="151"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</row>
    <row r="152"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</row>
    <row r="153"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</row>
    <row r="154"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</row>
    <row r="155"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</row>
    <row r="156"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</row>
    <row r="157"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</row>
    <row r="158"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</row>
    <row r="159"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</row>
    <row r="160"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</row>
    <row r="161"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</row>
    <row r="162"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</row>
    <row r="163"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</row>
    <row r="164"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</row>
    <row r="165"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</row>
    <row r="166"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</row>
    <row r="167"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</row>
    <row r="168"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</row>
    <row r="169"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</row>
    <row r="170"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</row>
    <row r="171"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</row>
    <row r="172"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</row>
    <row r="173"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</row>
    <row r="174"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</row>
    <row r="175"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</row>
    <row r="176"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</row>
    <row r="177"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</row>
    <row r="178"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</row>
    <row r="179"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</row>
    <row r="180"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</row>
    <row r="181"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</row>
    <row r="182"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</row>
    <row r="183"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</row>
    <row r="184"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</row>
    <row r="185"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</row>
    <row r="186"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</row>
    <row r="187"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</row>
    <row r="188"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</row>
    <row r="189"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</row>
    <row r="190"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</row>
    <row r="191"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</row>
    <row r="192"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</row>
    <row r="193"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</row>
    <row r="194"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</row>
    <row r="195"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</row>
    <row r="196"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</row>
    <row r="197"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</row>
    <row r="198"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</row>
    <row r="199"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</row>
    <row r="200"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</row>
    <row r="201"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</row>
    <row r="202"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</row>
    <row r="203"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</row>
    <row r="204"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</row>
    <row r="205"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</row>
    <row r="206"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</row>
    <row r="207"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</row>
    <row r="208"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</row>
    <row r="209"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</row>
    <row r="210"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</row>
    <row r="211"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</row>
    <row r="212"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</row>
    <row r="213"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</row>
    <row r="214"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</row>
    <row r="215"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</row>
    <row r="216"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</row>
    <row r="217"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</row>
    <row r="218"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</row>
    <row r="219"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</row>
    <row r="220"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</row>
    <row r="221"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</row>
    <row r="222"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</row>
    <row r="223"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</row>
    <row r="224"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</row>
    <row r="225"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</row>
    <row r="226"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</row>
    <row r="227"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</row>
    <row r="228"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</row>
    <row r="229"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</row>
    <row r="230"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</row>
    <row r="231"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</row>
    <row r="232"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</row>
    <row r="233"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</row>
    <row r="234"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</row>
    <row r="235"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</row>
    <row r="236"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</row>
    <row r="237"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</row>
    <row r="238"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</row>
    <row r="239"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</row>
    <row r="240"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</row>
    <row r="241"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</row>
    <row r="242"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</row>
    <row r="243"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</row>
    <row r="244"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</row>
    <row r="245"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</row>
    <row r="246"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</row>
    <row r="247"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</row>
    <row r="248"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</row>
    <row r="249"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</row>
    <row r="250"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</row>
    <row r="251"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</row>
    <row r="252"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</row>
    <row r="253"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</row>
    <row r="254"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</row>
    <row r="255"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</row>
    <row r="256"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</row>
    <row r="257"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</row>
    <row r="258"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</row>
    <row r="259"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</row>
    <row r="260"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</row>
    <row r="261"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</row>
    <row r="262"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</row>
    <row r="263"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</row>
    <row r="264"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</row>
    <row r="265"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</row>
    <row r="266"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</row>
    <row r="267"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</row>
    <row r="268"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</row>
    <row r="269"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</row>
    <row r="270"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</row>
    <row r="271"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</row>
    <row r="272"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</row>
    <row r="273"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</row>
    <row r="274"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</row>
    <row r="275"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</row>
    <row r="276"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</row>
    <row r="277"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</row>
    <row r="278"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</row>
    <row r="279"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</row>
    <row r="280"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</row>
    <row r="281"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</row>
    <row r="282"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</row>
    <row r="283"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</row>
    <row r="284"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</row>
    <row r="285"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</row>
    <row r="286"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</row>
    <row r="287"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</row>
    <row r="288"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</row>
    <row r="289"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</row>
    <row r="290"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</row>
    <row r="291"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</row>
    <row r="292"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</row>
    <row r="293"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</row>
    <row r="294"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</row>
    <row r="295"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</row>
    <row r="296"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</row>
    <row r="297"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</row>
    <row r="298"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</row>
    <row r="299"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</row>
    <row r="300"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</row>
    <row r="301"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</row>
    <row r="302"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</row>
    <row r="303"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</row>
    <row r="304"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</row>
    <row r="305"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</row>
    <row r="306"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</row>
    <row r="307"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</row>
    <row r="308"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</row>
    <row r="309"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</row>
    <row r="310"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</row>
    <row r="311"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</row>
    <row r="312"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</row>
    <row r="313"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</row>
    <row r="314"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</row>
    <row r="315"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</row>
    <row r="316"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</row>
    <row r="317"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</row>
    <row r="318"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</row>
    <row r="319"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</row>
    <row r="320"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</row>
    <row r="321"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</row>
    <row r="322"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</row>
    <row r="323"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</row>
    <row r="324"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</row>
    <row r="325"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</row>
    <row r="326"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</row>
    <row r="327"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</row>
    <row r="328"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</row>
    <row r="329"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</row>
    <row r="330"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</row>
    <row r="331"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</row>
    <row r="332"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</row>
    <row r="333"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</row>
    <row r="334"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</row>
    <row r="335"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</row>
    <row r="336"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</row>
    <row r="337"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</row>
    <row r="338"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</row>
    <row r="339"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</row>
    <row r="340"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</row>
    <row r="341"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</row>
    <row r="342"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</row>
    <row r="343"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</row>
    <row r="344"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</row>
    <row r="345"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</row>
    <row r="346"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</row>
    <row r="347"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</row>
    <row r="348"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</row>
    <row r="349"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</row>
    <row r="350"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</row>
    <row r="351"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</row>
    <row r="352"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</row>
    <row r="353"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</row>
    <row r="354"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</row>
    <row r="355"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</row>
    <row r="356"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</row>
    <row r="357"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</row>
    <row r="358"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</row>
    <row r="359"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</row>
    <row r="360"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</row>
    <row r="361"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</row>
    <row r="362"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</row>
    <row r="363"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</row>
    <row r="364"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</row>
    <row r="365"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</row>
    <row r="366"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</row>
    <row r="367"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</row>
    <row r="368"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</row>
    <row r="369"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</row>
    <row r="370"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</row>
    <row r="371"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</row>
    <row r="372"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</row>
    <row r="373"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</row>
    <row r="374"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</row>
    <row r="375"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</row>
    <row r="376"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</row>
    <row r="377"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</row>
    <row r="378"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</row>
    <row r="379"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</row>
    <row r="380"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</row>
    <row r="381"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</row>
    <row r="382"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</row>
    <row r="383"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</row>
    <row r="384"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</row>
    <row r="385"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</row>
    <row r="386"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</row>
    <row r="387"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</row>
    <row r="388"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</row>
    <row r="389"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</row>
    <row r="390"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</row>
    <row r="391"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</row>
    <row r="392"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</row>
    <row r="393"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</row>
    <row r="394"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</row>
    <row r="395"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</row>
    <row r="396"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</row>
    <row r="397"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</row>
    <row r="398"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</row>
    <row r="399"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</row>
    <row r="400"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</row>
    <row r="401"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</row>
    <row r="402"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</row>
    <row r="403"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</row>
    <row r="404"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</row>
    <row r="405"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</row>
  </sheetData>
  <mergeCells count="13">
    <mergeCell ref="H2:J2"/>
    <mergeCell ref="K2:M2"/>
    <mergeCell ref="N2:Q2"/>
    <mergeCell ref="R2:W2"/>
    <mergeCell ref="X2:AC2"/>
    <mergeCell ref="AD2:AI2"/>
    <mergeCell ref="A1:C2"/>
    <mergeCell ref="H1:J1"/>
    <mergeCell ref="K1:M1"/>
    <mergeCell ref="N1:Q1"/>
    <mergeCell ref="R1:W1"/>
    <mergeCell ref="X1:AC1"/>
    <mergeCell ref="AD1:AI1"/>
  </mergeCells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88"/>
    <col customWidth="1" min="2" max="2" width="16.25"/>
    <col customWidth="1" min="3" max="3" width="15.25"/>
    <col customWidth="1" min="4" max="4" width="13.63"/>
  </cols>
  <sheetData>
    <row r="1">
      <c r="A1" s="1" t="s">
        <v>91</v>
      </c>
      <c r="B1" s="82"/>
      <c r="C1" s="2"/>
      <c r="D1" s="3"/>
      <c r="E1" s="4">
        <v>45803.0</v>
      </c>
      <c r="F1" s="5"/>
      <c r="G1" s="5"/>
      <c r="H1" s="6"/>
      <c r="I1" s="4">
        <v>45897.0</v>
      </c>
      <c r="J1" s="5"/>
      <c r="K1" s="6"/>
      <c r="L1" s="4">
        <v>46019.0</v>
      </c>
      <c r="M1" s="5"/>
      <c r="N1" s="5"/>
      <c r="O1" s="6"/>
      <c r="P1" s="4">
        <v>46023.0</v>
      </c>
      <c r="Q1" s="5"/>
      <c r="R1" s="5"/>
      <c r="S1" s="6"/>
      <c r="T1" s="7"/>
      <c r="U1" s="8"/>
      <c r="V1" s="8"/>
      <c r="W1" s="8"/>
      <c r="X1" s="8"/>
      <c r="Y1" s="9"/>
      <c r="Z1" s="10">
        <v>45931.0</v>
      </c>
      <c r="AA1" s="11"/>
      <c r="AB1" s="11"/>
      <c r="AC1" s="11"/>
      <c r="AD1" s="11"/>
      <c r="AE1" s="12"/>
      <c r="AF1" s="10">
        <v>45962.0</v>
      </c>
      <c r="AG1" s="11"/>
      <c r="AH1" s="11"/>
      <c r="AI1" s="11"/>
      <c r="AJ1" s="11"/>
      <c r="AK1" s="12"/>
      <c r="AL1" s="104"/>
      <c r="AM1" s="104"/>
    </row>
    <row r="2">
      <c r="A2" s="84"/>
      <c r="B2" s="17"/>
      <c r="C2" s="14"/>
      <c r="D2" s="15"/>
      <c r="E2" s="16" t="s">
        <v>1</v>
      </c>
      <c r="F2" s="17"/>
      <c r="G2" s="17"/>
      <c r="H2" s="18"/>
      <c r="I2" s="16" t="s">
        <v>1</v>
      </c>
      <c r="J2" s="17"/>
      <c r="K2" s="18"/>
      <c r="L2" s="16" t="s">
        <v>1</v>
      </c>
      <c r="M2" s="17"/>
      <c r="N2" s="17"/>
      <c r="O2" s="18"/>
      <c r="P2" s="16" t="s">
        <v>1</v>
      </c>
      <c r="Q2" s="17"/>
      <c r="R2" s="17"/>
      <c r="S2" s="18"/>
      <c r="T2" s="16" t="s">
        <v>1</v>
      </c>
      <c r="U2" s="17"/>
      <c r="V2" s="17"/>
      <c r="W2" s="17"/>
      <c r="X2" s="17"/>
      <c r="Y2" s="19"/>
      <c r="Z2" s="20" t="s">
        <v>1</v>
      </c>
      <c r="AA2" s="21"/>
      <c r="AB2" s="21"/>
      <c r="AC2" s="21"/>
      <c r="AD2" s="21"/>
      <c r="AE2" s="22"/>
      <c r="AF2" s="20" t="s">
        <v>1</v>
      </c>
      <c r="AG2" s="21"/>
      <c r="AH2" s="21"/>
      <c r="AI2" s="21"/>
      <c r="AJ2" s="21"/>
      <c r="AK2" s="22"/>
      <c r="AL2" s="105"/>
      <c r="AM2" s="105"/>
    </row>
    <row r="3">
      <c r="A3" s="23" t="s">
        <v>2</v>
      </c>
      <c r="B3" s="24" t="s">
        <v>3</v>
      </c>
      <c r="C3" s="24" t="s">
        <v>4</v>
      </c>
      <c r="D3" s="24" t="s">
        <v>5</v>
      </c>
      <c r="E3" s="25" t="s">
        <v>141</v>
      </c>
      <c r="F3" s="25" t="s">
        <v>142</v>
      </c>
      <c r="G3" s="25" t="s">
        <v>143</v>
      </c>
      <c r="H3" s="25" t="s">
        <v>144</v>
      </c>
      <c r="I3" s="25" t="s">
        <v>145</v>
      </c>
      <c r="J3" s="25" t="s">
        <v>12</v>
      </c>
      <c r="K3" s="25" t="s">
        <v>146</v>
      </c>
      <c r="L3" s="25" t="s">
        <v>6</v>
      </c>
      <c r="M3" s="25" t="s">
        <v>92</v>
      </c>
      <c r="N3" s="25" t="s">
        <v>13</v>
      </c>
      <c r="O3" s="25" t="s">
        <v>147</v>
      </c>
      <c r="P3" s="25" t="s">
        <v>148</v>
      </c>
      <c r="Q3" s="25" t="s">
        <v>149</v>
      </c>
      <c r="R3" s="25" t="s">
        <v>150</v>
      </c>
      <c r="S3" s="25" t="s">
        <v>151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6" t="s">
        <v>23</v>
      </c>
      <c r="Z3" s="27" t="s">
        <v>24</v>
      </c>
      <c r="AA3" s="27" t="s">
        <v>25</v>
      </c>
      <c r="AB3" s="27" t="s">
        <v>26</v>
      </c>
      <c r="AC3" s="27" t="s">
        <v>27</v>
      </c>
      <c r="AD3" s="28" t="s">
        <v>28</v>
      </c>
      <c r="AE3" s="28" t="s">
        <v>29</v>
      </c>
      <c r="AF3" s="27" t="s">
        <v>24</v>
      </c>
      <c r="AG3" s="27" t="s">
        <v>25</v>
      </c>
      <c r="AH3" s="27" t="s">
        <v>26</v>
      </c>
      <c r="AI3" s="27" t="s">
        <v>27</v>
      </c>
      <c r="AJ3" s="28" t="s">
        <v>28</v>
      </c>
      <c r="AK3" s="28" t="s">
        <v>29</v>
      </c>
      <c r="AL3" s="106"/>
      <c r="AM3" s="106"/>
    </row>
    <row r="4">
      <c r="A4" s="107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108"/>
      <c r="P4" s="31"/>
      <c r="Q4" s="31"/>
      <c r="R4" s="31"/>
      <c r="S4" s="31"/>
      <c r="T4" s="30"/>
      <c r="U4" s="30"/>
      <c r="V4" s="30"/>
      <c r="W4" s="30"/>
      <c r="X4" s="30"/>
      <c r="Y4" s="30"/>
      <c r="Z4" s="30"/>
      <c r="AA4" s="30"/>
      <c r="AB4" s="30"/>
      <c r="AC4" s="32"/>
      <c r="AD4" s="33"/>
      <c r="AE4" s="33"/>
      <c r="AF4" s="30"/>
      <c r="AG4" s="30"/>
      <c r="AH4" s="30"/>
      <c r="AI4" s="32"/>
      <c r="AJ4" s="33"/>
      <c r="AK4" s="33"/>
      <c r="AL4" s="109"/>
      <c r="AM4" s="109"/>
    </row>
    <row r="5">
      <c r="A5" s="39">
        <v>1.0</v>
      </c>
      <c r="B5" s="48" t="s">
        <v>152</v>
      </c>
      <c r="C5" s="48" t="s">
        <v>153</v>
      </c>
      <c r="D5" s="48">
        <v>900961.0</v>
      </c>
      <c r="E5" s="39" t="s">
        <v>32</v>
      </c>
      <c r="F5" s="39" t="s">
        <v>32</v>
      </c>
      <c r="G5" s="39">
        <v>15.0</v>
      </c>
      <c r="H5" s="39" t="s">
        <v>32</v>
      </c>
      <c r="I5" s="39">
        <v>10.0</v>
      </c>
      <c r="J5" s="39">
        <v>10.0</v>
      </c>
      <c r="K5" s="39">
        <v>10.0</v>
      </c>
      <c r="L5" s="39">
        <v>18.0</v>
      </c>
      <c r="M5" s="39">
        <v>18.0</v>
      </c>
      <c r="N5" s="39">
        <v>18.0</v>
      </c>
      <c r="O5" s="39">
        <v>8.0</v>
      </c>
      <c r="P5" s="40">
        <v>35.0</v>
      </c>
      <c r="Q5" s="40">
        <v>33.0</v>
      </c>
      <c r="R5" s="40">
        <v>38.0</v>
      </c>
      <c r="S5" s="40">
        <v>15.0</v>
      </c>
      <c r="T5" s="41"/>
      <c r="U5" s="41"/>
      <c r="V5" s="41"/>
      <c r="W5" s="39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</row>
    <row r="6">
      <c r="A6" s="39">
        <v>2.0</v>
      </c>
      <c r="B6" s="48" t="s">
        <v>154</v>
      </c>
      <c r="C6" s="48" t="s">
        <v>155</v>
      </c>
      <c r="D6" s="48">
        <v>900791.0</v>
      </c>
      <c r="E6" s="39">
        <v>10.0</v>
      </c>
      <c r="F6" s="39">
        <v>10.0</v>
      </c>
      <c r="G6" s="39">
        <v>10.0</v>
      </c>
      <c r="H6" s="39">
        <v>8.0</v>
      </c>
      <c r="I6" s="39">
        <v>10.0</v>
      </c>
      <c r="J6" s="39">
        <v>12.0</v>
      </c>
      <c r="K6" s="39">
        <v>10.0</v>
      </c>
      <c r="L6" s="41">
        <v>9.0</v>
      </c>
      <c r="M6" s="39">
        <v>18.0</v>
      </c>
      <c r="N6" s="39">
        <v>18.0</v>
      </c>
      <c r="O6" s="39">
        <v>8.0</v>
      </c>
      <c r="P6" s="40">
        <v>35.0</v>
      </c>
      <c r="Q6" s="40">
        <v>37.0</v>
      </c>
      <c r="R6" s="40">
        <v>38.0</v>
      </c>
      <c r="S6" s="40">
        <v>15.0</v>
      </c>
      <c r="T6" s="39"/>
      <c r="U6" s="39"/>
      <c r="V6" s="39"/>
      <c r="W6" s="39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</row>
    <row r="7">
      <c r="A7" s="39">
        <v>3.0</v>
      </c>
      <c r="B7" s="48" t="s">
        <v>156</v>
      </c>
      <c r="C7" s="48" t="s">
        <v>157</v>
      </c>
      <c r="D7" s="48">
        <v>900899.0</v>
      </c>
      <c r="E7" s="39">
        <v>10.0</v>
      </c>
      <c r="F7" s="39">
        <v>9.0</v>
      </c>
      <c r="G7" s="39">
        <v>9.0</v>
      </c>
      <c r="H7" s="39">
        <v>7.0</v>
      </c>
      <c r="I7" s="39">
        <v>8.0</v>
      </c>
      <c r="J7" s="39">
        <v>7.0</v>
      </c>
      <c r="K7" s="39">
        <v>7.0</v>
      </c>
      <c r="L7" s="39">
        <v>13.0</v>
      </c>
      <c r="M7" s="39">
        <v>13.0</v>
      </c>
      <c r="N7" s="39">
        <v>15.0</v>
      </c>
      <c r="O7" s="39">
        <v>7.0</v>
      </c>
      <c r="P7" s="40">
        <v>25.0</v>
      </c>
      <c r="Q7" s="40">
        <v>28.0</v>
      </c>
      <c r="R7" s="40">
        <v>25.0</v>
      </c>
      <c r="S7" s="40">
        <v>10.0</v>
      </c>
      <c r="T7" s="39"/>
      <c r="U7" s="39"/>
      <c r="V7" s="39"/>
      <c r="W7" s="39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</row>
    <row r="8">
      <c r="A8" s="39">
        <v>4.0</v>
      </c>
      <c r="B8" s="48" t="s">
        <v>158</v>
      </c>
      <c r="C8" s="48" t="s">
        <v>159</v>
      </c>
      <c r="D8" s="48">
        <v>900783.0</v>
      </c>
      <c r="E8" s="39">
        <v>14.0</v>
      </c>
      <c r="F8" s="39">
        <v>10.0</v>
      </c>
      <c r="G8" s="39">
        <v>15.0</v>
      </c>
      <c r="H8" s="39">
        <v>12.0</v>
      </c>
      <c r="I8" s="39">
        <v>12.0</v>
      </c>
      <c r="J8" s="39">
        <v>12.0</v>
      </c>
      <c r="K8" s="39">
        <v>12.0</v>
      </c>
      <c r="L8" s="39">
        <v>18.0</v>
      </c>
      <c r="M8" s="39">
        <v>18.0</v>
      </c>
      <c r="N8" s="39">
        <v>18.0</v>
      </c>
      <c r="O8" s="39">
        <v>8.0</v>
      </c>
      <c r="P8" s="40">
        <v>36.0</v>
      </c>
      <c r="Q8" s="40">
        <v>35.0</v>
      </c>
      <c r="R8" s="41">
        <v>15.0</v>
      </c>
      <c r="S8" s="40">
        <v>15.0</v>
      </c>
      <c r="T8" s="39"/>
      <c r="U8" s="39"/>
      <c r="V8" s="39"/>
      <c r="W8" s="39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</row>
    <row r="9">
      <c r="A9" s="39">
        <v>5.0</v>
      </c>
      <c r="B9" s="48" t="s">
        <v>160</v>
      </c>
      <c r="C9" s="48" t="s">
        <v>161</v>
      </c>
      <c r="D9" s="48">
        <v>900753.0</v>
      </c>
      <c r="E9" s="41">
        <v>7.0</v>
      </c>
      <c r="F9" s="41">
        <v>9.0</v>
      </c>
      <c r="G9" s="41">
        <v>11.0</v>
      </c>
      <c r="H9" s="39">
        <v>7.0</v>
      </c>
      <c r="I9" s="39">
        <v>10.0</v>
      </c>
      <c r="J9" s="39">
        <v>10.0</v>
      </c>
      <c r="K9" s="39">
        <v>10.0</v>
      </c>
      <c r="L9" s="39">
        <v>10.0</v>
      </c>
      <c r="M9" s="39">
        <v>10.0</v>
      </c>
      <c r="N9" s="39">
        <v>10.0</v>
      </c>
      <c r="O9" s="39">
        <v>5.0</v>
      </c>
      <c r="P9" s="41">
        <v>5.0</v>
      </c>
      <c r="Q9" s="41">
        <v>5.0</v>
      </c>
      <c r="R9" s="41">
        <v>10.0</v>
      </c>
      <c r="S9" s="41">
        <v>2.0</v>
      </c>
      <c r="T9" s="39"/>
      <c r="U9" s="39"/>
      <c r="V9" s="39"/>
      <c r="W9" s="39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</row>
    <row r="10">
      <c r="A10" s="39">
        <v>6.0</v>
      </c>
      <c r="B10" s="48" t="s">
        <v>162</v>
      </c>
      <c r="C10" s="48" t="s">
        <v>163</v>
      </c>
      <c r="D10" s="48">
        <v>900897.0</v>
      </c>
      <c r="E10" s="41">
        <v>10.0</v>
      </c>
      <c r="F10" s="41">
        <v>10.0</v>
      </c>
      <c r="G10" s="41">
        <v>15.0</v>
      </c>
      <c r="H10" s="39">
        <v>12.0</v>
      </c>
      <c r="I10" s="39">
        <v>12.0</v>
      </c>
      <c r="J10" s="39">
        <v>12.0</v>
      </c>
      <c r="K10" s="39">
        <v>12.0</v>
      </c>
      <c r="L10" s="39">
        <v>15.0</v>
      </c>
      <c r="M10" s="39">
        <v>15.0</v>
      </c>
      <c r="N10" s="39">
        <v>16.0</v>
      </c>
      <c r="O10" s="39">
        <v>8.0</v>
      </c>
      <c r="P10" s="40">
        <v>25.0</v>
      </c>
      <c r="Q10" s="40">
        <v>30.0</v>
      </c>
      <c r="R10" s="40">
        <v>33.0</v>
      </c>
      <c r="S10" s="40">
        <v>15.0</v>
      </c>
      <c r="T10" s="39"/>
      <c r="U10" s="39"/>
      <c r="V10" s="39"/>
      <c r="W10" s="39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</row>
    <row r="11">
      <c r="A11" s="39">
        <v>7.0</v>
      </c>
      <c r="B11" s="48" t="s">
        <v>164</v>
      </c>
      <c r="C11" s="48" t="s">
        <v>165</v>
      </c>
      <c r="D11" s="48">
        <v>801554.0</v>
      </c>
      <c r="E11" s="41">
        <v>11.0</v>
      </c>
      <c r="F11" s="41">
        <v>7.0</v>
      </c>
      <c r="G11" s="41">
        <v>6.0</v>
      </c>
      <c r="H11" s="39" t="s">
        <v>32</v>
      </c>
      <c r="I11" s="41">
        <v>2.0</v>
      </c>
      <c r="J11" s="41">
        <v>4.0</v>
      </c>
      <c r="K11" s="41">
        <v>3.0</v>
      </c>
      <c r="L11" s="41" t="s">
        <v>32</v>
      </c>
      <c r="M11" s="41" t="s">
        <v>32</v>
      </c>
      <c r="N11" s="41" t="s">
        <v>32</v>
      </c>
      <c r="O11" s="41" t="s">
        <v>32</v>
      </c>
      <c r="P11" s="41" t="s">
        <v>32</v>
      </c>
      <c r="Q11" s="41" t="s">
        <v>32</v>
      </c>
      <c r="R11" s="41" t="s">
        <v>32</v>
      </c>
      <c r="S11" s="41" t="s">
        <v>32</v>
      </c>
      <c r="T11" s="39"/>
      <c r="U11" s="39"/>
      <c r="V11" s="39"/>
      <c r="W11" s="39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</row>
    <row r="12">
      <c r="A12" s="39">
        <v>8.0</v>
      </c>
      <c r="B12" s="48" t="s">
        <v>59</v>
      </c>
      <c r="C12" s="48" t="s">
        <v>166</v>
      </c>
      <c r="D12" s="48">
        <v>900680.0</v>
      </c>
      <c r="E12" s="41">
        <v>11.0</v>
      </c>
      <c r="F12" s="41">
        <v>10.0</v>
      </c>
      <c r="G12" s="41">
        <v>10.0</v>
      </c>
      <c r="H12" s="39">
        <v>8.0</v>
      </c>
      <c r="I12" s="39">
        <v>9.0</v>
      </c>
      <c r="J12" s="39">
        <v>10.0</v>
      </c>
      <c r="K12" s="39">
        <v>10.0</v>
      </c>
      <c r="L12" s="41" t="s">
        <v>32</v>
      </c>
      <c r="M12" s="41" t="s">
        <v>32</v>
      </c>
      <c r="N12" s="41" t="s">
        <v>32</v>
      </c>
      <c r="O12" s="41" t="s">
        <v>32</v>
      </c>
      <c r="P12" s="40">
        <v>28.0</v>
      </c>
      <c r="Q12" s="40">
        <v>29.0</v>
      </c>
      <c r="R12" s="40">
        <v>35.0</v>
      </c>
      <c r="S12" s="40">
        <v>15.0</v>
      </c>
      <c r="T12" s="39"/>
      <c r="U12" s="39"/>
      <c r="V12" s="39"/>
      <c r="W12" s="39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</row>
    <row r="13">
      <c r="A13" s="39">
        <v>9.0</v>
      </c>
      <c r="B13" s="48" t="s">
        <v>167</v>
      </c>
      <c r="C13" s="48" t="s">
        <v>168</v>
      </c>
      <c r="D13" s="48">
        <v>900840.0</v>
      </c>
      <c r="E13" s="41">
        <v>8.0</v>
      </c>
      <c r="F13" s="41">
        <v>9.0</v>
      </c>
      <c r="G13" s="41">
        <v>10.0</v>
      </c>
      <c r="H13" s="39">
        <v>8.0</v>
      </c>
      <c r="I13" s="39">
        <v>8.0</v>
      </c>
      <c r="J13" s="39">
        <v>10.0</v>
      </c>
      <c r="K13" s="39">
        <v>10.0</v>
      </c>
      <c r="L13" s="39">
        <v>10.0</v>
      </c>
      <c r="M13" s="39">
        <v>12.0</v>
      </c>
      <c r="N13" s="39">
        <v>15.0</v>
      </c>
      <c r="O13" s="39">
        <v>6.0</v>
      </c>
      <c r="P13" s="40">
        <v>20.0</v>
      </c>
      <c r="Q13" s="40">
        <v>30.0</v>
      </c>
      <c r="R13" s="40">
        <v>30.0</v>
      </c>
      <c r="S13" s="40">
        <v>10.0</v>
      </c>
      <c r="T13" s="39"/>
      <c r="U13" s="39"/>
      <c r="V13" s="39"/>
      <c r="W13" s="39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</row>
    <row r="14">
      <c r="A14" s="39">
        <v>10.0</v>
      </c>
      <c r="B14" s="39" t="s">
        <v>169</v>
      </c>
      <c r="C14" s="39" t="s">
        <v>170</v>
      </c>
      <c r="D14" s="39">
        <v>900841.0</v>
      </c>
      <c r="E14" s="39">
        <v>9.0</v>
      </c>
      <c r="F14" s="39">
        <v>7.0</v>
      </c>
      <c r="G14" s="39">
        <v>8.0</v>
      </c>
      <c r="H14" s="39">
        <v>7.0</v>
      </c>
      <c r="I14" s="41">
        <v>2.0</v>
      </c>
      <c r="J14" s="41">
        <v>3.0</v>
      </c>
      <c r="K14" s="41">
        <v>2.0</v>
      </c>
      <c r="L14" s="41">
        <v>2.0</v>
      </c>
      <c r="M14" s="41">
        <v>3.0</v>
      </c>
      <c r="N14" s="41">
        <v>8.0</v>
      </c>
      <c r="O14" s="39">
        <v>5.0</v>
      </c>
      <c r="P14" s="40">
        <v>25.0</v>
      </c>
      <c r="Q14" s="40">
        <v>25.0</v>
      </c>
      <c r="R14" s="40">
        <v>28.0</v>
      </c>
      <c r="S14" s="40">
        <v>13.0</v>
      </c>
      <c r="T14" s="39"/>
      <c r="U14" s="39"/>
      <c r="V14" s="39"/>
      <c r="W14" s="39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</row>
    <row r="15">
      <c r="A15" s="39">
        <v>11.0</v>
      </c>
      <c r="B15" s="48" t="s">
        <v>171</v>
      </c>
      <c r="C15" s="48" t="s">
        <v>172</v>
      </c>
      <c r="D15" s="48">
        <v>900836.0</v>
      </c>
      <c r="E15" s="39">
        <v>11.0</v>
      </c>
      <c r="F15" s="39">
        <v>10.0</v>
      </c>
      <c r="G15" s="39">
        <v>12.0</v>
      </c>
      <c r="H15" s="39">
        <v>9.0</v>
      </c>
      <c r="I15" s="39">
        <v>8.0</v>
      </c>
      <c r="J15" s="39">
        <v>8.0</v>
      </c>
      <c r="K15" s="39">
        <v>9.0</v>
      </c>
      <c r="L15" s="39">
        <v>10.0</v>
      </c>
      <c r="M15" s="39">
        <v>10.0</v>
      </c>
      <c r="N15" s="39">
        <v>10.0</v>
      </c>
      <c r="O15" s="39">
        <v>5.0</v>
      </c>
      <c r="P15" s="41">
        <v>6.0</v>
      </c>
      <c r="Q15" s="41">
        <v>5.0</v>
      </c>
      <c r="R15" s="41">
        <v>5.0</v>
      </c>
      <c r="S15" s="41">
        <v>5.0</v>
      </c>
      <c r="T15" s="39"/>
      <c r="U15" s="39"/>
      <c r="V15" s="39"/>
      <c r="W15" s="39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</row>
    <row r="16">
      <c r="A16" s="39">
        <v>12.0</v>
      </c>
      <c r="B16" s="48" t="s">
        <v>173</v>
      </c>
      <c r="C16" s="48" t="s">
        <v>174</v>
      </c>
      <c r="D16" s="48">
        <v>900926.0</v>
      </c>
      <c r="E16" s="39">
        <v>13.0</v>
      </c>
      <c r="F16" s="39">
        <v>10.0</v>
      </c>
      <c r="G16" s="39">
        <v>15.0</v>
      </c>
      <c r="H16" s="39">
        <v>9.0</v>
      </c>
      <c r="I16" s="39">
        <v>12.0</v>
      </c>
      <c r="J16" s="39">
        <v>12.0</v>
      </c>
      <c r="K16" s="39">
        <v>12.0</v>
      </c>
      <c r="L16" s="39">
        <v>16.0</v>
      </c>
      <c r="M16" s="39">
        <v>15.0</v>
      </c>
      <c r="N16" s="39">
        <v>18.0</v>
      </c>
      <c r="O16" s="39">
        <v>8.0</v>
      </c>
      <c r="P16" s="40">
        <v>28.0</v>
      </c>
      <c r="Q16" s="40">
        <v>30.0</v>
      </c>
      <c r="R16" s="40">
        <v>28.0</v>
      </c>
      <c r="S16" s="40">
        <v>15.0</v>
      </c>
      <c r="T16" s="39"/>
      <c r="U16" s="39"/>
      <c r="V16" s="39"/>
      <c r="W16" s="39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>
      <c r="A17" s="39">
        <v>13.0</v>
      </c>
      <c r="B17" s="48" t="s">
        <v>175</v>
      </c>
      <c r="C17" s="48" t="s">
        <v>176</v>
      </c>
      <c r="D17" s="48">
        <v>900933.0</v>
      </c>
      <c r="E17" s="39">
        <v>12.0</v>
      </c>
      <c r="F17" s="39">
        <v>10.0</v>
      </c>
      <c r="G17" s="39">
        <v>9.0</v>
      </c>
      <c r="H17" s="39">
        <v>8.0</v>
      </c>
      <c r="I17" s="39">
        <v>12.0</v>
      </c>
      <c r="J17" s="39">
        <v>12.0</v>
      </c>
      <c r="K17" s="39">
        <v>12.0</v>
      </c>
      <c r="L17" s="39">
        <v>18.0</v>
      </c>
      <c r="M17" s="39">
        <v>18.0</v>
      </c>
      <c r="N17" s="39">
        <v>18.0</v>
      </c>
      <c r="O17" s="39">
        <v>8.0</v>
      </c>
      <c r="P17" s="40">
        <v>26.0</v>
      </c>
      <c r="Q17" s="40">
        <v>30.0</v>
      </c>
      <c r="R17" s="40">
        <v>32.0</v>
      </c>
      <c r="S17" s="40">
        <v>16.0</v>
      </c>
      <c r="T17" s="39"/>
      <c r="U17" s="39"/>
      <c r="V17" s="39"/>
      <c r="W17" s="39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</row>
    <row r="18">
      <c r="A18" s="39">
        <v>14.0</v>
      </c>
      <c r="B18" s="39" t="s">
        <v>177</v>
      </c>
      <c r="C18" s="39" t="s">
        <v>155</v>
      </c>
      <c r="D18" s="39">
        <v>900793.0</v>
      </c>
      <c r="E18" s="39">
        <v>11.0</v>
      </c>
      <c r="F18" s="39">
        <v>10.0</v>
      </c>
      <c r="G18" s="39">
        <v>10.0</v>
      </c>
      <c r="H18" s="39">
        <v>8.0</v>
      </c>
      <c r="I18" s="39">
        <v>9.0</v>
      </c>
      <c r="J18" s="39">
        <v>10.0</v>
      </c>
      <c r="K18" s="39">
        <v>10.0</v>
      </c>
      <c r="L18" s="39">
        <v>10.0</v>
      </c>
      <c r="M18" s="39">
        <v>12.0</v>
      </c>
      <c r="N18" s="39">
        <v>13.0</v>
      </c>
      <c r="O18" s="39">
        <v>7.0</v>
      </c>
      <c r="P18" s="41">
        <v>15.0</v>
      </c>
      <c r="Q18" s="40">
        <v>20.0</v>
      </c>
      <c r="R18" s="40">
        <v>22.0</v>
      </c>
      <c r="S18" s="40">
        <v>13.0</v>
      </c>
      <c r="T18" s="39"/>
      <c r="U18" s="39"/>
      <c r="V18" s="39"/>
      <c r="W18" s="39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</row>
    <row r="19">
      <c r="A19" s="39">
        <v>15.0</v>
      </c>
      <c r="B19" s="39" t="s">
        <v>178</v>
      </c>
      <c r="C19" s="39" t="s">
        <v>179</v>
      </c>
      <c r="D19" s="39">
        <v>900900.0</v>
      </c>
      <c r="E19" s="39">
        <v>12.0</v>
      </c>
      <c r="F19" s="39">
        <v>12.0</v>
      </c>
      <c r="G19" s="39">
        <v>12.0</v>
      </c>
      <c r="H19" s="39" t="s">
        <v>32</v>
      </c>
      <c r="I19" s="39">
        <v>10.0</v>
      </c>
      <c r="J19" s="39">
        <v>8.0</v>
      </c>
      <c r="K19" s="39">
        <v>8.0</v>
      </c>
      <c r="L19" s="41" t="s">
        <v>32</v>
      </c>
      <c r="M19" s="41" t="s">
        <v>32</v>
      </c>
      <c r="N19" s="41" t="s">
        <v>32</v>
      </c>
      <c r="O19" s="41" t="s">
        <v>32</v>
      </c>
      <c r="P19" s="40">
        <v>22.0</v>
      </c>
      <c r="Q19" s="40">
        <v>25.0</v>
      </c>
      <c r="R19" s="40">
        <v>22.0</v>
      </c>
      <c r="S19" s="40">
        <v>13.0</v>
      </c>
      <c r="T19" s="39"/>
      <c r="U19" s="39"/>
      <c r="V19" s="39"/>
      <c r="W19" s="39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</row>
    <row r="20">
      <c r="A20" s="39">
        <v>16.0</v>
      </c>
      <c r="B20" s="48" t="s">
        <v>180</v>
      </c>
      <c r="C20" s="48" t="s">
        <v>181</v>
      </c>
      <c r="D20" s="48">
        <v>900783.0</v>
      </c>
      <c r="E20" s="39">
        <v>17.0</v>
      </c>
      <c r="F20" s="39">
        <v>12.0</v>
      </c>
      <c r="G20" s="39">
        <v>18.0</v>
      </c>
      <c r="H20" s="39">
        <v>10.0</v>
      </c>
      <c r="I20" s="39">
        <v>11.0</v>
      </c>
      <c r="J20" s="39">
        <v>12.0</v>
      </c>
      <c r="K20" s="39">
        <v>10.0</v>
      </c>
      <c r="L20" s="39">
        <v>10.0</v>
      </c>
      <c r="M20" s="39">
        <v>12.0</v>
      </c>
      <c r="N20" s="39">
        <v>15.0</v>
      </c>
      <c r="O20" s="39">
        <v>7.0</v>
      </c>
      <c r="P20" s="40">
        <v>20.0</v>
      </c>
      <c r="Q20" s="40">
        <v>22.0</v>
      </c>
      <c r="R20" s="40">
        <v>26.0</v>
      </c>
      <c r="S20" s="40">
        <v>10.0</v>
      </c>
      <c r="T20" s="42"/>
      <c r="U20" s="41"/>
      <c r="V20" s="41"/>
      <c r="W20" s="41"/>
      <c r="X20" s="39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</row>
    <row r="21">
      <c r="A21" s="39">
        <v>17.0</v>
      </c>
      <c r="B21" s="48" t="s">
        <v>182</v>
      </c>
      <c r="C21" s="48" t="s">
        <v>183</v>
      </c>
      <c r="D21" s="48">
        <v>901109.0</v>
      </c>
      <c r="E21" s="39">
        <v>18.0</v>
      </c>
      <c r="F21" s="39">
        <v>16.0</v>
      </c>
      <c r="G21" s="39">
        <v>15.0</v>
      </c>
      <c r="H21" s="39">
        <v>19.0</v>
      </c>
      <c r="I21" s="39"/>
      <c r="J21" s="39">
        <v>15.0</v>
      </c>
      <c r="K21" s="39">
        <v>11.0</v>
      </c>
      <c r="L21" s="39">
        <v>15.0</v>
      </c>
      <c r="M21" s="39">
        <v>15.0</v>
      </c>
      <c r="N21" s="39">
        <v>15.0</v>
      </c>
      <c r="O21" s="39">
        <v>7.0</v>
      </c>
      <c r="P21" s="41">
        <v>18.0</v>
      </c>
      <c r="Q21" s="41">
        <v>15.0</v>
      </c>
      <c r="R21" s="40">
        <v>22.0</v>
      </c>
      <c r="S21" s="41">
        <v>5.0</v>
      </c>
      <c r="T21" s="41"/>
      <c r="U21" s="42"/>
      <c r="V21" s="41"/>
      <c r="W21" s="41"/>
      <c r="X21" s="41"/>
      <c r="Y21" s="39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</row>
    <row r="22">
      <c r="A22" s="39">
        <v>18.0</v>
      </c>
      <c r="B22" s="48" t="s">
        <v>184</v>
      </c>
      <c r="C22" s="48" t="s">
        <v>185</v>
      </c>
      <c r="D22" s="48">
        <v>900967.0</v>
      </c>
      <c r="E22" s="39">
        <v>19.0</v>
      </c>
      <c r="F22" s="39">
        <v>17.0</v>
      </c>
      <c r="G22" s="39">
        <v>18.0</v>
      </c>
      <c r="H22" s="39">
        <v>19.0</v>
      </c>
      <c r="I22" s="39"/>
      <c r="J22" s="39">
        <v>17.0</v>
      </c>
      <c r="K22" s="39">
        <v>16.0</v>
      </c>
      <c r="L22" s="39">
        <v>17.0</v>
      </c>
      <c r="M22" s="39">
        <v>18.0</v>
      </c>
      <c r="N22" s="39">
        <v>18.0</v>
      </c>
      <c r="O22" s="39">
        <v>8.0</v>
      </c>
      <c r="P22" s="40">
        <v>36.0</v>
      </c>
      <c r="Q22" s="40">
        <v>38.0</v>
      </c>
      <c r="R22" s="40">
        <v>38.0</v>
      </c>
      <c r="S22" s="40">
        <v>15.0</v>
      </c>
      <c r="T22" s="39"/>
      <c r="U22" s="42"/>
      <c r="V22" s="39"/>
      <c r="W22" s="39"/>
      <c r="X22" s="39"/>
      <c r="Y22" s="39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</row>
    <row r="23">
      <c r="A23" s="39">
        <v>19.0</v>
      </c>
      <c r="B23" s="48" t="s">
        <v>186</v>
      </c>
      <c r="C23" s="48" t="s">
        <v>187</v>
      </c>
      <c r="D23" s="48">
        <v>900705.0</v>
      </c>
      <c r="E23" s="39">
        <v>12.0</v>
      </c>
      <c r="F23" s="39">
        <v>10.0</v>
      </c>
      <c r="G23" s="39">
        <v>12.0</v>
      </c>
      <c r="H23" s="39">
        <v>12.0</v>
      </c>
      <c r="I23" s="39"/>
      <c r="J23" s="39">
        <v>11.0</v>
      </c>
      <c r="K23" s="39">
        <v>10.0</v>
      </c>
      <c r="L23" s="39">
        <v>10.0</v>
      </c>
      <c r="M23" s="41">
        <v>8.0</v>
      </c>
      <c r="N23" s="41">
        <v>9.0</v>
      </c>
      <c r="O23" s="39">
        <v>5.0</v>
      </c>
      <c r="P23" s="41">
        <v>18.0</v>
      </c>
      <c r="Q23" s="41">
        <v>16.0</v>
      </c>
      <c r="R23" s="40">
        <v>22.0</v>
      </c>
      <c r="S23" s="40">
        <v>9.0</v>
      </c>
      <c r="T23" s="39"/>
      <c r="U23" s="42"/>
      <c r="V23" s="39"/>
      <c r="W23" s="39"/>
      <c r="X23" s="39"/>
      <c r="Y23" s="39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</row>
    <row r="24">
      <c r="A24" s="39">
        <v>20.0</v>
      </c>
      <c r="B24" s="48" t="s">
        <v>188</v>
      </c>
      <c r="C24" s="48" t="s">
        <v>189</v>
      </c>
      <c r="D24" s="48">
        <v>901142.0</v>
      </c>
      <c r="E24" s="39">
        <v>18.0</v>
      </c>
      <c r="F24" s="39">
        <v>12.0</v>
      </c>
      <c r="G24" s="39">
        <v>15.0</v>
      </c>
      <c r="H24" s="39"/>
      <c r="I24" s="39"/>
      <c r="J24" s="39">
        <v>10.0</v>
      </c>
      <c r="K24" s="39">
        <v>10.0</v>
      </c>
      <c r="L24" s="41">
        <v>5.0</v>
      </c>
      <c r="M24" s="39">
        <v>11.0</v>
      </c>
      <c r="N24" s="39">
        <v>10.0</v>
      </c>
      <c r="O24" s="39">
        <v>5.0</v>
      </c>
      <c r="P24" s="41">
        <v>15.0</v>
      </c>
      <c r="Q24" s="40">
        <v>22.0</v>
      </c>
      <c r="R24" s="40">
        <v>25.0</v>
      </c>
      <c r="S24" s="40">
        <v>10.0</v>
      </c>
      <c r="T24" s="39"/>
      <c r="U24" s="42"/>
      <c r="V24" s="39"/>
      <c r="W24" s="39"/>
      <c r="X24" s="39"/>
      <c r="Y24" s="39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</row>
    <row r="25">
      <c r="A25" s="39">
        <v>21.0</v>
      </c>
      <c r="B25" s="48" t="s">
        <v>190</v>
      </c>
      <c r="C25" s="48" t="s">
        <v>191</v>
      </c>
      <c r="D25" s="48">
        <v>901010.0</v>
      </c>
      <c r="E25" s="39">
        <v>13.0</v>
      </c>
      <c r="F25" s="39">
        <v>12.0</v>
      </c>
      <c r="G25" s="39">
        <v>8.0</v>
      </c>
      <c r="H25" s="39">
        <v>13.0</v>
      </c>
      <c r="I25" s="39"/>
      <c r="J25" s="39">
        <v>9.0</v>
      </c>
      <c r="K25" s="41">
        <v>6.0</v>
      </c>
      <c r="L25" s="39">
        <v>10.0</v>
      </c>
      <c r="M25" s="41">
        <v>2.0</v>
      </c>
      <c r="N25" s="41">
        <v>5.0</v>
      </c>
      <c r="O25" s="39">
        <v>5.0</v>
      </c>
      <c r="P25" s="41">
        <v>6.0</v>
      </c>
      <c r="Q25" s="41">
        <v>15.0</v>
      </c>
      <c r="R25" s="41">
        <v>18.0</v>
      </c>
      <c r="S25" s="40">
        <v>10.0</v>
      </c>
      <c r="T25" s="39"/>
      <c r="U25" s="42"/>
      <c r="V25" s="39"/>
      <c r="W25" s="39"/>
      <c r="X25" s="39"/>
      <c r="Y25" s="39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</row>
    <row r="26">
      <c r="A26" s="39">
        <v>22.0</v>
      </c>
      <c r="B26" s="48" t="s">
        <v>192</v>
      </c>
      <c r="C26" s="48" t="s">
        <v>193</v>
      </c>
      <c r="D26" s="48">
        <v>900895.0</v>
      </c>
      <c r="E26" s="41">
        <v>14.0</v>
      </c>
      <c r="F26" s="41">
        <v>11.0</v>
      </c>
      <c r="G26" s="41">
        <v>11.0</v>
      </c>
      <c r="H26" s="41">
        <v>12.0</v>
      </c>
      <c r="I26" s="41"/>
      <c r="J26" s="39">
        <v>11.0</v>
      </c>
      <c r="K26" s="39">
        <v>10.0</v>
      </c>
      <c r="L26" s="41">
        <v>11.0</v>
      </c>
      <c r="M26" s="41">
        <v>3.0</v>
      </c>
      <c r="N26" s="39">
        <v>10.0</v>
      </c>
      <c r="O26" s="39">
        <v>5.0</v>
      </c>
      <c r="P26" s="40">
        <v>22.0</v>
      </c>
      <c r="Q26" s="40">
        <v>26.0</v>
      </c>
      <c r="R26" s="40">
        <v>27.0</v>
      </c>
      <c r="S26" s="40">
        <v>15.0</v>
      </c>
      <c r="T26" s="39"/>
      <c r="U26" s="42"/>
      <c r="V26" s="39"/>
      <c r="W26" s="39"/>
      <c r="X26" s="39"/>
      <c r="Y26" s="39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</row>
    <row r="27">
      <c r="A27" s="39">
        <v>23.0</v>
      </c>
      <c r="B27" s="48" t="s">
        <v>64</v>
      </c>
      <c r="C27" s="48" t="s">
        <v>194</v>
      </c>
      <c r="D27" s="48">
        <v>900615.0</v>
      </c>
      <c r="E27" s="41">
        <v>14.0</v>
      </c>
      <c r="F27" s="41">
        <v>11.0</v>
      </c>
      <c r="G27" s="41">
        <v>13.0</v>
      </c>
      <c r="H27" s="41" t="s">
        <v>32</v>
      </c>
      <c r="I27" s="41"/>
      <c r="J27" s="39">
        <v>15.0</v>
      </c>
      <c r="K27" s="39">
        <v>17.0</v>
      </c>
      <c r="L27" s="39">
        <v>16.0</v>
      </c>
      <c r="M27" s="39">
        <v>18.0</v>
      </c>
      <c r="N27" s="39">
        <v>18.0</v>
      </c>
      <c r="O27" s="39">
        <v>8.0</v>
      </c>
      <c r="P27" s="40">
        <v>35.0</v>
      </c>
      <c r="Q27" s="40">
        <v>38.0</v>
      </c>
      <c r="R27" s="40">
        <v>38.0</v>
      </c>
      <c r="S27" s="40">
        <v>15.0</v>
      </c>
      <c r="T27" s="39"/>
      <c r="U27" s="42"/>
      <c r="V27" s="39"/>
      <c r="W27" s="39"/>
      <c r="X27" s="39"/>
      <c r="Y27" s="39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</row>
    <row r="28">
      <c r="A28" s="39">
        <v>24.0</v>
      </c>
      <c r="B28" s="48" t="s">
        <v>195</v>
      </c>
      <c r="C28" s="48" t="s">
        <v>196</v>
      </c>
      <c r="D28" s="48">
        <v>900936.0</v>
      </c>
      <c r="E28" s="39">
        <v>19.0</v>
      </c>
      <c r="F28" s="39">
        <v>16.0</v>
      </c>
      <c r="G28" s="39">
        <v>17.0</v>
      </c>
      <c r="H28" s="39">
        <v>20.0</v>
      </c>
      <c r="I28" s="39"/>
      <c r="J28" s="39">
        <v>14.0</v>
      </c>
      <c r="K28" s="39">
        <v>13.0</v>
      </c>
      <c r="L28" s="39">
        <v>18.0</v>
      </c>
      <c r="M28" s="39">
        <v>19.0</v>
      </c>
      <c r="N28" s="39">
        <v>18.0</v>
      </c>
      <c r="O28" s="39">
        <v>8.0</v>
      </c>
      <c r="P28" s="40">
        <v>36.0</v>
      </c>
      <c r="Q28" s="40">
        <v>38.0</v>
      </c>
      <c r="R28" s="40">
        <v>38.0</v>
      </c>
      <c r="S28" s="40">
        <v>15.0</v>
      </c>
      <c r="T28" s="39"/>
      <c r="U28" s="42"/>
      <c r="V28" s="39"/>
      <c r="W28" s="39"/>
      <c r="X28" s="39"/>
      <c r="Y28" s="39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</row>
    <row r="29">
      <c r="A29" s="39">
        <v>25.0</v>
      </c>
      <c r="B29" s="48" t="s">
        <v>197</v>
      </c>
      <c r="C29" s="48" t="s">
        <v>198</v>
      </c>
      <c r="D29" s="48">
        <v>901143.0</v>
      </c>
      <c r="E29" s="39">
        <v>15.0</v>
      </c>
      <c r="F29" s="39">
        <v>13.0</v>
      </c>
      <c r="G29" s="39">
        <v>12.0</v>
      </c>
      <c r="H29" s="39">
        <v>12.0</v>
      </c>
      <c r="I29" s="39"/>
      <c r="J29" s="39">
        <v>10.0</v>
      </c>
      <c r="K29" s="39">
        <v>14.0</v>
      </c>
      <c r="L29" s="39">
        <v>15.0</v>
      </c>
      <c r="M29" s="39">
        <v>18.0</v>
      </c>
      <c r="N29" s="39">
        <v>18.0</v>
      </c>
      <c r="O29" s="39">
        <v>8.0</v>
      </c>
      <c r="P29" s="40">
        <v>28.0</v>
      </c>
      <c r="Q29" s="40">
        <v>30.0</v>
      </c>
      <c r="R29" s="40">
        <v>30.0</v>
      </c>
      <c r="S29" s="40">
        <v>15.0</v>
      </c>
      <c r="T29" s="39"/>
      <c r="U29" s="42"/>
      <c r="V29" s="39"/>
      <c r="W29" s="39"/>
      <c r="X29" s="39"/>
      <c r="Y29" s="39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</row>
    <row r="30">
      <c r="A30" s="39">
        <v>26.0</v>
      </c>
      <c r="B30" s="48" t="s">
        <v>199</v>
      </c>
      <c r="C30" s="48" t="s">
        <v>200</v>
      </c>
      <c r="D30" s="48">
        <v>900907.0</v>
      </c>
      <c r="E30" s="39">
        <v>17.0</v>
      </c>
      <c r="F30" s="39">
        <v>13.0</v>
      </c>
      <c r="G30" s="39">
        <v>15.0</v>
      </c>
      <c r="H30" s="39">
        <v>18.0</v>
      </c>
      <c r="I30" s="39"/>
      <c r="J30" s="39">
        <v>13.0</v>
      </c>
      <c r="K30" s="39">
        <v>14.0</v>
      </c>
      <c r="L30" s="39">
        <v>18.0</v>
      </c>
      <c r="M30" s="39">
        <v>18.0</v>
      </c>
      <c r="N30" s="39">
        <v>18.0</v>
      </c>
      <c r="O30" s="39">
        <v>8.0</v>
      </c>
      <c r="P30" s="40">
        <v>35.0</v>
      </c>
      <c r="Q30" s="40">
        <v>38.0</v>
      </c>
      <c r="R30" s="40">
        <v>38.0</v>
      </c>
      <c r="S30" s="40">
        <v>15.0</v>
      </c>
      <c r="T30" s="39"/>
      <c r="U30" s="42"/>
      <c r="V30" s="39"/>
      <c r="W30" s="39"/>
      <c r="X30" s="39"/>
      <c r="Y30" s="39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</row>
    <row r="31">
      <c r="A31" s="39">
        <v>27.0</v>
      </c>
      <c r="B31" s="48" t="s">
        <v>201</v>
      </c>
      <c r="C31" s="48" t="s">
        <v>202</v>
      </c>
      <c r="D31" s="48">
        <v>900901.0</v>
      </c>
      <c r="E31" s="39">
        <v>11.0</v>
      </c>
      <c r="F31" s="39">
        <v>12.0</v>
      </c>
      <c r="G31" s="39">
        <v>5.0</v>
      </c>
      <c r="H31" s="39">
        <v>10.0</v>
      </c>
      <c r="I31" s="39"/>
      <c r="J31" s="39">
        <v>10.0</v>
      </c>
      <c r="K31" s="41">
        <v>5.0</v>
      </c>
      <c r="L31" s="41">
        <v>3.0</v>
      </c>
      <c r="M31" s="41">
        <v>7.0</v>
      </c>
      <c r="N31" s="41">
        <v>9.0</v>
      </c>
      <c r="O31" s="40">
        <v>5.0</v>
      </c>
      <c r="P31" s="41">
        <v>15.0</v>
      </c>
      <c r="Q31" s="41">
        <v>12.0</v>
      </c>
      <c r="R31" s="40">
        <v>22.0</v>
      </c>
      <c r="S31" s="40">
        <v>10.0</v>
      </c>
      <c r="T31" s="39"/>
      <c r="U31" s="42"/>
      <c r="V31" s="39"/>
      <c r="W31" s="39"/>
      <c r="X31" s="39"/>
      <c r="Y31" s="39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</row>
    <row r="32">
      <c r="A32" s="39">
        <v>28.0</v>
      </c>
      <c r="B32" s="48" t="s">
        <v>203</v>
      </c>
      <c r="C32" s="48" t="s">
        <v>204</v>
      </c>
      <c r="D32" s="48">
        <v>900896.0</v>
      </c>
      <c r="E32" s="39">
        <v>11.0</v>
      </c>
      <c r="F32" s="39">
        <v>6.0</v>
      </c>
      <c r="G32" s="39">
        <v>4.0</v>
      </c>
      <c r="H32" s="39">
        <v>10.0</v>
      </c>
      <c r="I32" s="39"/>
      <c r="J32" s="41">
        <v>2.0</v>
      </c>
      <c r="K32" s="41">
        <v>4.0</v>
      </c>
      <c r="L32" s="41">
        <v>3.0</v>
      </c>
      <c r="M32" s="41" t="s">
        <v>32</v>
      </c>
      <c r="N32" s="41" t="s">
        <v>32</v>
      </c>
      <c r="O32" s="41" t="s">
        <v>32</v>
      </c>
      <c r="P32" s="40">
        <v>12.0</v>
      </c>
      <c r="Q32" s="41">
        <v>11.0</v>
      </c>
      <c r="R32" s="41">
        <v>10.0</v>
      </c>
      <c r="S32" s="41">
        <v>5.0</v>
      </c>
      <c r="T32" s="39"/>
      <c r="U32" s="42"/>
      <c r="V32" s="39"/>
      <c r="W32" s="39"/>
      <c r="X32" s="39"/>
      <c r="Y32" s="39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39">
        <v>29.0</v>
      </c>
      <c r="B33" s="39" t="s">
        <v>205</v>
      </c>
      <c r="C33" s="39" t="s">
        <v>206</v>
      </c>
      <c r="D33" s="39">
        <v>900928.0</v>
      </c>
      <c r="E33" s="39">
        <v>16.0</v>
      </c>
      <c r="F33" s="39">
        <v>17.0</v>
      </c>
      <c r="G33" s="39">
        <v>15.0</v>
      </c>
      <c r="H33" s="39">
        <v>15.0</v>
      </c>
      <c r="I33" s="39"/>
      <c r="J33" s="39">
        <v>11.0</v>
      </c>
      <c r="K33" s="39">
        <v>14.0</v>
      </c>
      <c r="L33" s="39">
        <v>14.0</v>
      </c>
      <c r="M33" s="39">
        <v>10.0</v>
      </c>
      <c r="N33" s="39">
        <v>16.0</v>
      </c>
      <c r="O33" s="39">
        <v>7.0</v>
      </c>
      <c r="P33" s="40">
        <v>26.0</v>
      </c>
      <c r="Q33" s="40">
        <v>27.0</v>
      </c>
      <c r="R33" s="40">
        <v>27.0</v>
      </c>
      <c r="S33" s="40">
        <v>13.0</v>
      </c>
      <c r="T33" s="39"/>
      <c r="U33" s="42"/>
      <c r="V33" s="39"/>
      <c r="W33" s="39"/>
      <c r="X33" s="39"/>
      <c r="Y33" s="39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</row>
    <row r="34">
      <c r="A34" s="39">
        <v>30.0</v>
      </c>
      <c r="B34" s="39" t="s">
        <v>207</v>
      </c>
      <c r="C34" s="39" t="s">
        <v>208</v>
      </c>
      <c r="D34" s="39">
        <v>801553.0</v>
      </c>
      <c r="E34" s="39">
        <v>14.0</v>
      </c>
      <c r="F34" s="39" t="s">
        <v>32</v>
      </c>
      <c r="G34" s="39" t="s">
        <v>32</v>
      </c>
      <c r="H34" s="39">
        <v>16.0</v>
      </c>
      <c r="I34" s="39"/>
      <c r="J34" s="39">
        <v>10.0</v>
      </c>
      <c r="K34" s="39">
        <v>10.0</v>
      </c>
      <c r="L34" s="41" t="s">
        <v>32</v>
      </c>
      <c r="M34" s="41">
        <v>6.0</v>
      </c>
      <c r="N34" s="41">
        <v>9.0</v>
      </c>
      <c r="O34" s="41" t="s">
        <v>32</v>
      </c>
      <c r="P34" s="41" t="s">
        <v>32</v>
      </c>
      <c r="Q34" s="41" t="s">
        <v>32</v>
      </c>
      <c r="R34" s="41" t="s">
        <v>32</v>
      </c>
      <c r="S34" s="41" t="s">
        <v>32</v>
      </c>
      <c r="T34" s="41"/>
      <c r="U34" s="42"/>
      <c r="V34" s="41"/>
      <c r="W34" s="41"/>
      <c r="X34" s="41"/>
      <c r="Y34" s="110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</row>
    <row r="35">
      <c r="A35" s="39">
        <v>31.0</v>
      </c>
      <c r="B35" s="48" t="s">
        <v>209</v>
      </c>
      <c r="C35" s="48" t="s">
        <v>210</v>
      </c>
      <c r="D35" s="48">
        <v>900837.0</v>
      </c>
      <c r="E35" s="39">
        <v>19.0</v>
      </c>
      <c r="F35" s="39">
        <v>18.0</v>
      </c>
      <c r="G35" s="39">
        <v>18.0</v>
      </c>
      <c r="H35" s="39">
        <v>19.0</v>
      </c>
      <c r="I35" s="39"/>
      <c r="J35" s="39">
        <v>11.0</v>
      </c>
      <c r="K35" s="39">
        <v>10.0</v>
      </c>
      <c r="L35" s="39">
        <v>16.0</v>
      </c>
      <c r="M35" s="39">
        <v>14.0</v>
      </c>
      <c r="N35" s="39">
        <v>15.0</v>
      </c>
      <c r="O35" s="39">
        <v>7.0</v>
      </c>
      <c r="P35" s="40">
        <v>28.0</v>
      </c>
      <c r="Q35" s="40">
        <v>30.0</v>
      </c>
      <c r="R35" s="40">
        <v>33.0</v>
      </c>
      <c r="S35" s="40">
        <v>14.0</v>
      </c>
      <c r="T35" s="42"/>
      <c r="U35" s="42"/>
      <c r="V35" s="39"/>
      <c r="W35" s="39"/>
      <c r="X35" s="39"/>
      <c r="Y35" s="39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39">
        <v>32.0</v>
      </c>
      <c r="B36" s="34" t="s">
        <v>211</v>
      </c>
      <c r="C36" s="34" t="s">
        <v>212</v>
      </c>
      <c r="D36" s="34">
        <v>901146.0</v>
      </c>
      <c r="E36" s="111">
        <v>19.0</v>
      </c>
      <c r="F36" s="111">
        <v>18.0</v>
      </c>
      <c r="G36" s="111">
        <v>18.0</v>
      </c>
      <c r="H36" s="111">
        <v>19.0</v>
      </c>
      <c r="I36" s="111"/>
      <c r="J36" s="39">
        <v>18.0</v>
      </c>
      <c r="K36" s="39">
        <v>13.0</v>
      </c>
      <c r="L36" s="39">
        <v>18.0</v>
      </c>
      <c r="M36" s="39">
        <v>19.0</v>
      </c>
      <c r="N36" s="39">
        <v>18.0</v>
      </c>
      <c r="O36" s="39">
        <v>8.0</v>
      </c>
      <c r="P36" s="40">
        <v>33.0</v>
      </c>
      <c r="Q36" s="40">
        <v>35.0</v>
      </c>
      <c r="R36" s="40">
        <v>38.0</v>
      </c>
      <c r="S36" s="40">
        <v>15.0</v>
      </c>
      <c r="T36" s="42"/>
      <c r="U36" s="42"/>
      <c r="V36" s="39"/>
      <c r="W36" s="39"/>
      <c r="X36" s="39"/>
      <c r="Y36" s="39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</row>
    <row r="37">
      <c r="A37" s="39">
        <v>33.0</v>
      </c>
      <c r="B37" s="48" t="s">
        <v>213</v>
      </c>
      <c r="C37" s="48"/>
      <c r="D37" s="48"/>
      <c r="E37" s="39"/>
      <c r="F37" s="39"/>
      <c r="G37" s="39"/>
      <c r="H37" s="80"/>
      <c r="I37" s="39"/>
      <c r="J37" s="39"/>
      <c r="K37" s="39"/>
      <c r="L37" s="39">
        <v>10.0</v>
      </c>
      <c r="M37" s="39">
        <v>10.0</v>
      </c>
      <c r="N37" s="39">
        <v>12.0</v>
      </c>
      <c r="O37" s="41" t="s">
        <v>32</v>
      </c>
      <c r="P37" s="41">
        <v>18.0</v>
      </c>
      <c r="Q37" s="40">
        <v>22.0</v>
      </c>
      <c r="R37" s="40">
        <v>25.0</v>
      </c>
      <c r="S37" s="40">
        <v>12.0</v>
      </c>
      <c r="T37" s="39"/>
      <c r="U37" s="39"/>
      <c r="V37" s="39"/>
      <c r="W37" s="39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</row>
    <row r="38">
      <c r="A38" s="39">
        <v>34.0</v>
      </c>
      <c r="B38" s="48" t="s">
        <v>214</v>
      </c>
      <c r="C38" s="48"/>
      <c r="D38" s="48"/>
      <c r="E38" s="39">
        <v>18.0</v>
      </c>
      <c r="F38" s="39">
        <v>17.0</v>
      </c>
      <c r="G38" s="39">
        <v>19.0</v>
      </c>
      <c r="H38" s="39">
        <v>17.0</v>
      </c>
      <c r="I38" s="39">
        <v>16.0</v>
      </c>
      <c r="J38" s="39">
        <v>17.0</v>
      </c>
      <c r="K38" s="39">
        <v>18.0</v>
      </c>
      <c r="L38" s="39">
        <v>20.0</v>
      </c>
      <c r="M38" s="39">
        <v>18.0</v>
      </c>
      <c r="N38" s="39">
        <v>18.0</v>
      </c>
      <c r="O38" s="39">
        <v>8.0</v>
      </c>
      <c r="P38" s="40">
        <v>35.0</v>
      </c>
      <c r="Q38" s="40">
        <v>35.0</v>
      </c>
      <c r="R38" s="40">
        <v>38.0</v>
      </c>
      <c r="S38" s="40">
        <v>15.0</v>
      </c>
      <c r="T38" s="39"/>
      <c r="U38" s="39"/>
      <c r="V38" s="39"/>
      <c r="W38" s="39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</row>
    <row r="39">
      <c r="A39" s="39">
        <v>35.0</v>
      </c>
      <c r="B39" s="48" t="s">
        <v>215</v>
      </c>
      <c r="C39" s="48"/>
      <c r="D39" s="48"/>
      <c r="E39" s="39"/>
      <c r="F39" s="39"/>
      <c r="G39" s="39"/>
      <c r="H39" s="80"/>
      <c r="I39" s="39"/>
      <c r="J39" s="39"/>
      <c r="K39" s="39"/>
      <c r="L39" s="39" t="s">
        <v>216</v>
      </c>
      <c r="M39" s="39" t="s">
        <v>127</v>
      </c>
      <c r="N39" s="39" t="s">
        <v>127</v>
      </c>
      <c r="O39" s="39" t="s">
        <v>127</v>
      </c>
      <c r="P39" s="40">
        <v>26.0</v>
      </c>
      <c r="Q39" s="40">
        <v>25.0</v>
      </c>
      <c r="R39" s="40">
        <v>26.0</v>
      </c>
      <c r="S39" s="40">
        <v>15.0</v>
      </c>
      <c r="T39" s="39"/>
      <c r="U39" s="39"/>
      <c r="V39" s="39"/>
      <c r="W39" s="39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</row>
    <row r="40">
      <c r="A40" s="39">
        <v>36.0</v>
      </c>
      <c r="B40" s="48" t="s">
        <v>217</v>
      </c>
      <c r="C40" s="48"/>
      <c r="D40" s="48"/>
      <c r="E40" s="39"/>
      <c r="F40" s="39"/>
      <c r="G40" s="39"/>
      <c r="H40" s="80"/>
      <c r="I40" s="39"/>
      <c r="J40" s="39"/>
      <c r="K40" s="39"/>
      <c r="L40" s="41">
        <v>5.0</v>
      </c>
      <c r="M40" s="41">
        <v>5.0</v>
      </c>
      <c r="N40" s="41">
        <v>8.0</v>
      </c>
      <c r="O40" s="41">
        <v>4.0</v>
      </c>
      <c r="P40" s="41">
        <v>5.0</v>
      </c>
      <c r="Q40" s="41">
        <v>3.0</v>
      </c>
      <c r="R40" s="41">
        <v>5.0</v>
      </c>
      <c r="S40" s="41">
        <v>2.0</v>
      </c>
      <c r="T40" s="39"/>
      <c r="U40" s="39"/>
      <c r="V40" s="39"/>
      <c r="W40" s="39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</row>
    <row r="41">
      <c r="A41" s="39">
        <v>37.0</v>
      </c>
      <c r="B41" s="34" t="s">
        <v>218</v>
      </c>
      <c r="C41" s="34"/>
      <c r="D41" s="112"/>
      <c r="E41" s="39"/>
      <c r="F41" s="39"/>
      <c r="G41" s="80"/>
      <c r="H41" s="80"/>
      <c r="I41" s="34"/>
      <c r="J41" s="34"/>
      <c r="K41" s="34"/>
      <c r="L41" s="39">
        <v>10.0</v>
      </c>
      <c r="M41" s="41" t="s">
        <v>32</v>
      </c>
      <c r="N41" s="41" t="s">
        <v>32</v>
      </c>
      <c r="O41" s="41" t="s">
        <v>32</v>
      </c>
      <c r="P41" s="40">
        <v>28.0</v>
      </c>
      <c r="Q41" s="40">
        <v>30.0</v>
      </c>
      <c r="R41" s="40">
        <v>35.0</v>
      </c>
      <c r="S41" s="40">
        <v>15.0</v>
      </c>
      <c r="T41" s="39"/>
      <c r="U41" s="39"/>
      <c r="V41" s="39"/>
      <c r="W41" s="39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</row>
    <row r="42">
      <c r="A42" s="39">
        <v>38.0</v>
      </c>
      <c r="B42" s="34" t="s">
        <v>219</v>
      </c>
      <c r="C42" s="34"/>
      <c r="D42" s="112"/>
      <c r="E42" s="39"/>
      <c r="F42" s="39"/>
      <c r="G42" s="80"/>
      <c r="H42" s="80"/>
      <c r="I42" s="34"/>
      <c r="J42" s="34"/>
      <c r="K42" s="34"/>
      <c r="L42" s="41" t="s">
        <v>32</v>
      </c>
      <c r="M42" s="41" t="s">
        <v>32</v>
      </c>
      <c r="N42" s="41" t="s">
        <v>32</v>
      </c>
      <c r="O42" s="41" t="s">
        <v>32</v>
      </c>
      <c r="P42" s="41" t="s">
        <v>32</v>
      </c>
      <c r="Q42" s="41" t="s">
        <v>32</v>
      </c>
      <c r="R42" s="41" t="s">
        <v>32</v>
      </c>
      <c r="S42" s="41" t="s">
        <v>32</v>
      </c>
      <c r="T42" s="39"/>
      <c r="U42" s="39"/>
      <c r="V42" s="39"/>
      <c r="W42" s="39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</row>
    <row r="43">
      <c r="A43" s="39">
        <v>39.0</v>
      </c>
      <c r="B43" s="34" t="s">
        <v>220</v>
      </c>
      <c r="C43" s="34"/>
      <c r="D43" s="112"/>
      <c r="E43" s="39"/>
      <c r="F43" s="39"/>
      <c r="G43" s="80"/>
      <c r="H43" s="80"/>
      <c r="I43" s="34"/>
      <c r="J43" s="34"/>
      <c r="K43" s="34"/>
      <c r="L43" s="41" t="s">
        <v>32</v>
      </c>
      <c r="M43" s="41" t="s">
        <v>32</v>
      </c>
      <c r="N43" s="41" t="s">
        <v>32</v>
      </c>
      <c r="O43" s="41" t="s">
        <v>32</v>
      </c>
      <c r="P43" s="41" t="s">
        <v>32</v>
      </c>
      <c r="Q43" s="41" t="s">
        <v>32</v>
      </c>
      <c r="R43" s="41" t="s">
        <v>32</v>
      </c>
      <c r="S43" s="41" t="s">
        <v>32</v>
      </c>
      <c r="T43" s="39"/>
      <c r="U43" s="39"/>
      <c r="V43" s="39"/>
      <c r="W43" s="39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</row>
    <row r="44">
      <c r="A44" s="39">
        <v>40.0</v>
      </c>
      <c r="B44" s="34" t="s">
        <v>221</v>
      </c>
      <c r="C44" s="34"/>
      <c r="D44" s="112"/>
      <c r="E44" s="39"/>
      <c r="F44" s="39"/>
      <c r="G44" s="80"/>
      <c r="H44" s="80"/>
      <c r="I44" s="34"/>
      <c r="J44" s="34"/>
      <c r="K44" s="34"/>
      <c r="L44" s="39">
        <v>19.0</v>
      </c>
      <c r="M44" s="39">
        <v>18.0</v>
      </c>
      <c r="N44" s="39">
        <v>18.0</v>
      </c>
      <c r="O44" s="39">
        <v>8.0</v>
      </c>
      <c r="P44" s="40">
        <v>38.0</v>
      </c>
      <c r="Q44" s="40">
        <v>38.0</v>
      </c>
      <c r="R44" s="40">
        <v>38.0</v>
      </c>
      <c r="S44" s="40">
        <v>18.0</v>
      </c>
      <c r="T44" s="39"/>
      <c r="U44" s="39"/>
      <c r="V44" s="39"/>
      <c r="W44" s="39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</row>
    <row r="45">
      <c r="A45" s="39">
        <v>41.0</v>
      </c>
      <c r="B45" s="34" t="s">
        <v>222</v>
      </c>
      <c r="C45" s="34"/>
      <c r="D45" s="112"/>
      <c r="E45" s="39"/>
      <c r="F45" s="39"/>
      <c r="G45" s="80"/>
      <c r="H45" s="80"/>
      <c r="I45" s="34"/>
      <c r="J45" s="34"/>
      <c r="K45" s="34"/>
      <c r="L45" s="39" t="s">
        <v>127</v>
      </c>
      <c r="M45" s="39" t="s">
        <v>127</v>
      </c>
      <c r="N45" s="39" t="s">
        <v>127</v>
      </c>
      <c r="O45" s="39" t="s">
        <v>127</v>
      </c>
      <c r="P45" s="80"/>
      <c r="Q45" s="80"/>
      <c r="R45" s="80"/>
      <c r="S45" s="80"/>
      <c r="T45" s="39"/>
      <c r="U45" s="39"/>
      <c r="V45" s="39"/>
      <c r="W45" s="39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</row>
    <row r="46">
      <c r="A46" s="39">
        <v>42.0</v>
      </c>
      <c r="B46" s="34" t="s">
        <v>223</v>
      </c>
      <c r="C46" s="34"/>
      <c r="D46" s="86"/>
      <c r="E46" s="62"/>
      <c r="F46" s="62"/>
      <c r="G46" s="63"/>
      <c r="H46" s="63"/>
      <c r="I46" s="64"/>
      <c r="J46" s="64"/>
      <c r="K46" s="64"/>
      <c r="L46" s="62"/>
      <c r="M46" s="62"/>
      <c r="N46" s="62"/>
      <c r="O46" s="63"/>
      <c r="P46" s="63"/>
      <c r="Q46" s="63"/>
      <c r="R46" s="63"/>
      <c r="S46" s="63"/>
      <c r="T46" s="39"/>
      <c r="U46" s="39"/>
      <c r="V46" s="39"/>
      <c r="W46" s="39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</row>
    <row r="47">
      <c r="A47" s="39"/>
      <c r="B47" s="34"/>
      <c r="C47" s="34"/>
      <c r="D47" s="86" t="s">
        <v>85</v>
      </c>
      <c r="E47" s="62">
        <f t="shared" ref="E47:K47" si="1">SUM(E5:E19)</f>
        <v>149</v>
      </c>
      <c r="F47" s="62">
        <f t="shared" si="1"/>
        <v>133</v>
      </c>
      <c r="G47" s="63">
        <f t="shared" si="1"/>
        <v>167</v>
      </c>
      <c r="H47" s="63">
        <f t="shared" si="1"/>
        <v>103</v>
      </c>
      <c r="I47" s="64">
        <f t="shared" si="1"/>
        <v>134</v>
      </c>
      <c r="J47" s="64">
        <f t="shared" si="1"/>
        <v>140</v>
      </c>
      <c r="K47" s="64">
        <f t="shared" si="1"/>
        <v>137</v>
      </c>
      <c r="L47" s="64">
        <f t="shared" ref="L47:S47" si="2">sum(L5:L45)</f>
        <v>412</v>
      </c>
      <c r="M47" s="64">
        <f t="shared" si="2"/>
        <v>411</v>
      </c>
      <c r="N47" s="64">
        <f t="shared" si="2"/>
        <v>454</v>
      </c>
      <c r="O47" s="64">
        <f t="shared" si="2"/>
        <v>204</v>
      </c>
      <c r="P47" s="64">
        <f t="shared" si="2"/>
        <v>864</v>
      </c>
      <c r="Q47" s="64">
        <f t="shared" si="2"/>
        <v>928</v>
      </c>
      <c r="R47" s="64">
        <f t="shared" si="2"/>
        <v>980</v>
      </c>
      <c r="S47" s="64">
        <f t="shared" si="2"/>
        <v>440</v>
      </c>
      <c r="T47" s="39"/>
      <c r="U47" s="39"/>
      <c r="V47" s="39"/>
      <c r="W47" s="39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</row>
    <row r="48">
      <c r="A48" s="39"/>
      <c r="B48" s="34"/>
      <c r="C48" s="34"/>
      <c r="D48" s="86" t="s">
        <v>86</v>
      </c>
      <c r="E48" s="89">
        <f t="shared" ref="E48:S48" si="3">E47/E52</f>
        <v>6.772727273</v>
      </c>
      <c r="F48" s="89">
        <f t="shared" si="3"/>
        <v>5.782608696</v>
      </c>
      <c r="G48" s="89">
        <f t="shared" si="3"/>
        <v>7.590909091</v>
      </c>
      <c r="H48" s="89">
        <f t="shared" si="3"/>
        <v>5.421052632</v>
      </c>
      <c r="I48" s="90">
        <f t="shared" si="3"/>
        <v>7.052631579</v>
      </c>
      <c r="J48" s="90">
        <f t="shared" si="3"/>
        <v>7.368421053</v>
      </c>
      <c r="K48" s="90">
        <f t="shared" si="3"/>
        <v>7.210526316</v>
      </c>
      <c r="L48" s="90">
        <f t="shared" si="3"/>
        <v>12.11764706</v>
      </c>
      <c r="M48" s="90">
        <f t="shared" si="3"/>
        <v>12.45454545</v>
      </c>
      <c r="N48" s="90">
        <f t="shared" si="3"/>
        <v>13.75757576</v>
      </c>
      <c r="O48" s="90">
        <f t="shared" si="3"/>
        <v>6.580645161</v>
      </c>
      <c r="P48" s="90">
        <f t="shared" si="3"/>
        <v>22.73684211</v>
      </c>
      <c r="Q48" s="90">
        <f t="shared" si="3"/>
        <v>24.42105263</v>
      </c>
      <c r="R48" s="90">
        <f t="shared" si="3"/>
        <v>25.78947368</v>
      </c>
      <c r="S48" s="90">
        <f t="shared" si="3"/>
        <v>11.57894737</v>
      </c>
      <c r="T48" s="39"/>
      <c r="U48" s="39"/>
      <c r="V48" s="39"/>
      <c r="W48" s="39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</row>
    <row r="49">
      <c r="A49" s="39"/>
      <c r="B49" s="34"/>
      <c r="C49" s="34"/>
      <c r="D49" s="86" t="s">
        <v>87</v>
      </c>
      <c r="E49" s="62">
        <v>25.0</v>
      </c>
      <c r="F49" s="62">
        <v>25.0</v>
      </c>
      <c r="G49" s="62">
        <v>25.0</v>
      </c>
      <c r="H49" s="62">
        <v>25.0</v>
      </c>
      <c r="I49" s="64">
        <v>19.0</v>
      </c>
      <c r="J49" s="64">
        <v>19.0</v>
      </c>
      <c r="K49" s="64">
        <v>19.0</v>
      </c>
      <c r="L49" s="64">
        <v>42.0</v>
      </c>
      <c r="M49" s="64">
        <v>42.0</v>
      </c>
      <c r="N49" s="64">
        <v>42.0</v>
      </c>
      <c r="O49" s="64">
        <v>42.0</v>
      </c>
      <c r="P49" s="62">
        <v>42.0</v>
      </c>
      <c r="Q49" s="62">
        <v>42.0</v>
      </c>
      <c r="R49" s="62">
        <v>42.0</v>
      </c>
      <c r="S49" s="62">
        <v>42.0</v>
      </c>
      <c r="T49" s="39"/>
      <c r="U49" s="39"/>
      <c r="V49" s="39"/>
      <c r="W49" s="39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</row>
    <row r="50">
      <c r="A50" s="39"/>
      <c r="B50" s="34"/>
      <c r="C50" s="34"/>
      <c r="D50" s="86" t="s">
        <v>88</v>
      </c>
      <c r="E50" s="62">
        <v>23.0</v>
      </c>
      <c r="F50" s="62">
        <v>22.0</v>
      </c>
      <c r="G50" s="62">
        <v>20.0</v>
      </c>
      <c r="H50" s="62">
        <v>12.0</v>
      </c>
      <c r="I50" s="64">
        <v>16.0</v>
      </c>
      <c r="J50" s="64">
        <v>15.0</v>
      </c>
      <c r="K50" s="64">
        <v>16.0</v>
      </c>
      <c r="L50" s="64">
        <v>26.0</v>
      </c>
      <c r="M50" s="64">
        <v>25.0</v>
      </c>
      <c r="N50" s="64">
        <v>27.0</v>
      </c>
      <c r="O50" s="64">
        <v>30.0</v>
      </c>
      <c r="P50" s="62">
        <v>28.0</v>
      </c>
      <c r="Q50" s="62">
        <v>30.0</v>
      </c>
      <c r="R50" s="62">
        <v>34.0</v>
      </c>
      <c r="S50" s="62">
        <v>34.0</v>
      </c>
      <c r="T50" s="39"/>
      <c r="U50" s="39"/>
      <c r="V50" s="39"/>
      <c r="W50" s="39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</row>
    <row r="51">
      <c r="A51" s="39"/>
      <c r="B51" s="34"/>
      <c r="C51" s="34"/>
      <c r="D51" s="86" t="s">
        <v>89</v>
      </c>
      <c r="E51" s="62">
        <v>2.0</v>
      </c>
      <c r="F51" s="62">
        <v>3.0</v>
      </c>
      <c r="G51" s="62">
        <v>2.0</v>
      </c>
      <c r="H51" s="62">
        <v>7.0</v>
      </c>
      <c r="I51" s="64">
        <v>3.0</v>
      </c>
      <c r="J51" s="64">
        <v>4.0</v>
      </c>
      <c r="K51" s="64">
        <v>3.0</v>
      </c>
      <c r="L51" s="93">
        <v>8.0</v>
      </c>
      <c r="M51" s="93">
        <v>8.0</v>
      </c>
      <c r="N51" s="93">
        <v>6.0</v>
      </c>
      <c r="O51" s="93">
        <v>1.0</v>
      </c>
      <c r="P51" s="113">
        <v>10.0</v>
      </c>
      <c r="Q51" s="113">
        <v>8.0</v>
      </c>
      <c r="R51" s="113">
        <v>4.0</v>
      </c>
      <c r="S51" s="113">
        <v>4.0</v>
      </c>
      <c r="T51" s="39"/>
      <c r="U51" s="39"/>
      <c r="V51" s="39"/>
      <c r="W51" s="39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</row>
    <row r="52">
      <c r="D52" s="61" t="s">
        <v>90</v>
      </c>
      <c r="E52" s="62">
        <v>22.0</v>
      </c>
      <c r="F52" s="62">
        <v>23.0</v>
      </c>
      <c r="G52" s="62">
        <v>22.0</v>
      </c>
      <c r="H52" s="62">
        <v>19.0</v>
      </c>
      <c r="I52" s="64">
        <v>19.0</v>
      </c>
      <c r="J52" s="64">
        <v>19.0</v>
      </c>
      <c r="K52" s="64">
        <v>19.0</v>
      </c>
      <c r="L52" s="64">
        <v>34.0</v>
      </c>
      <c r="M52" s="64">
        <v>33.0</v>
      </c>
      <c r="N52" s="64">
        <v>33.0</v>
      </c>
      <c r="O52" s="64">
        <v>31.0</v>
      </c>
      <c r="P52" s="62">
        <v>38.0</v>
      </c>
      <c r="Q52" s="62">
        <v>38.0</v>
      </c>
      <c r="R52" s="62">
        <v>38.0</v>
      </c>
      <c r="S52" s="62">
        <v>38.0</v>
      </c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</row>
    <row r="53">
      <c r="E53" s="63"/>
      <c r="F53" s="63"/>
      <c r="G53" s="63"/>
      <c r="H53" s="63"/>
      <c r="I53" s="56"/>
      <c r="J53" s="56"/>
      <c r="K53" s="56"/>
      <c r="L53" s="63"/>
      <c r="M53" s="63"/>
      <c r="N53" s="63"/>
      <c r="O53" s="63"/>
      <c r="P53" s="63"/>
      <c r="Q53" s="63"/>
      <c r="R53" s="63"/>
      <c r="S53" s="63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</row>
    <row r="54"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</row>
    <row r="55">
      <c r="A55" s="81"/>
      <c r="B55" s="95"/>
      <c r="C55" s="96"/>
      <c r="D55" s="96"/>
      <c r="E55" s="96"/>
      <c r="F55" s="96"/>
      <c r="G55" s="96"/>
      <c r="H55" s="96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78"/>
      <c r="U55" s="52"/>
      <c r="V55" s="78"/>
      <c r="W55" s="9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81"/>
      <c r="AM55" s="81"/>
    </row>
    <row r="56">
      <c r="A56" s="81"/>
      <c r="B56" s="98"/>
      <c r="C56" s="66"/>
      <c r="D56" s="66"/>
      <c r="E56" s="66"/>
      <c r="F56" s="66"/>
      <c r="G56" s="66"/>
      <c r="H56" s="6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4"/>
      <c r="U56" s="74"/>
      <c r="V56" s="74"/>
      <c r="W56" s="74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81"/>
      <c r="AM56" s="81"/>
    </row>
    <row r="57">
      <c r="B57" s="98"/>
      <c r="C57" s="66"/>
      <c r="D57" s="66"/>
      <c r="E57" s="66"/>
      <c r="F57" s="66"/>
      <c r="G57" s="66"/>
      <c r="H57" s="66"/>
      <c r="I57" s="66"/>
      <c r="J57" s="66"/>
      <c r="K57" s="87"/>
      <c r="L57" s="66"/>
      <c r="M57" s="66"/>
      <c r="N57" s="87"/>
      <c r="O57" s="87"/>
      <c r="P57" s="99"/>
      <c r="Q57" s="99"/>
      <c r="R57" s="99"/>
      <c r="S57" s="100"/>
      <c r="T57" s="78"/>
      <c r="U57" s="78"/>
      <c r="V57" s="78"/>
      <c r="W57" s="101"/>
      <c r="X57" s="47"/>
      <c r="Y57" s="47"/>
      <c r="Z57" s="47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</row>
    <row r="58">
      <c r="B58" s="77"/>
      <c r="C58" s="66"/>
      <c r="D58" s="66"/>
      <c r="E58" s="66"/>
      <c r="F58" s="66"/>
      <c r="G58" s="66"/>
      <c r="H58" s="66"/>
      <c r="I58" s="78"/>
      <c r="J58" s="78"/>
      <c r="K58" s="46"/>
      <c r="L58" s="78"/>
      <c r="M58" s="78"/>
      <c r="N58" s="46"/>
      <c r="O58" s="46"/>
      <c r="P58" s="78"/>
      <c r="Q58" s="78"/>
      <c r="R58" s="79"/>
      <c r="S58" s="79"/>
      <c r="T58" s="102"/>
      <c r="U58" s="102"/>
      <c r="V58" s="102"/>
      <c r="W58" s="102"/>
      <c r="X58" s="47"/>
      <c r="Y58" s="47"/>
      <c r="Z58" s="47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</row>
    <row r="59">
      <c r="B59" s="77"/>
      <c r="C59" s="66"/>
      <c r="D59" s="66"/>
      <c r="E59" s="66"/>
      <c r="F59" s="66"/>
      <c r="G59" s="66"/>
      <c r="H59" s="66"/>
      <c r="I59" s="78"/>
      <c r="J59" s="78"/>
      <c r="K59" s="46"/>
      <c r="L59" s="78"/>
      <c r="M59" s="78"/>
      <c r="N59" s="46"/>
      <c r="O59" s="46"/>
      <c r="P59" s="78"/>
      <c r="Q59" s="78"/>
      <c r="R59" s="79"/>
      <c r="S59" s="79"/>
      <c r="T59" s="102"/>
      <c r="U59" s="102"/>
      <c r="V59" s="102"/>
      <c r="W59" s="102"/>
      <c r="X59" s="47"/>
      <c r="Y59" s="47"/>
      <c r="Z59" s="47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</row>
    <row r="60">
      <c r="B60" s="77"/>
      <c r="C60" s="66"/>
      <c r="D60" s="66"/>
      <c r="E60" s="66"/>
      <c r="F60" s="66"/>
      <c r="G60" s="66"/>
      <c r="H60" s="66"/>
      <c r="I60" s="78"/>
      <c r="J60" s="78"/>
      <c r="K60" s="46"/>
      <c r="L60" s="78"/>
      <c r="M60" s="78"/>
      <c r="N60" s="46"/>
      <c r="O60" s="46"/>
      <c r="P60" s="78"/>
      <c r="Q60" s="78"/>
      <c r="R60" s="79"/>
      <c r="S60" s="79"/>
      <c r="T60" s="102"/>
      <c r="U60" s="102"/>
      <c r="V60" s="102"/>
      <c r="W60" s="102"/>
      <c r="X60" s="47"/>
      <c r="Y60" s="47"/>
      <c r="Z60" s="47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</row>
    <row r="61">
      <c r="B61" s="77"/>
      <c r="C61" s="66"/>
      <c r="D61" s="66"/>
      <c r="E61" s="66"/>
      <c r="F61" s="66"/>
      <c r="G61" s="66"/>
      <c r="H61" s="66"/>
      <c r="I61" s="78"/>
      <c r="J61" s="78"/>
      <c r="K61" s="46"/>
      <c r="L61" s="78"/>
      <c r="M61" s="78"/>
      <c r="N61" s="46"/>
      <c r="O61" s="46"/>
      <c r="P61" s="78"/>
      <c r="Q61" s="78"/>
      <c r="R61" s="78"/>
      <c r="S61" s="78"/>
      <c r="T61" s="81"/>
      <c r="U61" s="81"/>
      <c r="V61" s="81"/>
      <c r="W61" s="81"/>
      <c r="X61" s="47"/>
      <c r="Y61" s="47"/>
      <c r="Z61" s="47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</row>
    <row r="62">
      <c r="B62" s="66"/>
      <c r="C62" s="66"/>
      <c r="D62" s="66"/>
      <c r="E62" s="66"/>
      <c r="F62" s="66"/>
      <c r="G62" s="66"/>
      <c r="H62" s="66"/>
      <c r="I62" s="66"/>
      <c r="J62" s="66"/>
      <c r="K62" s="87"/>
      <c r="L62" s="66"/>
      <c r="M62" s="66"/>
      <c r="N62" s="87"/>
      <c r="O62" s="87"/>
      <c r="P62" s="81"/>
      <c r="Q62" s="81"/>
      <c r="R62" s="81"/>
      <c r="S62" s="81"/>
      <c r="T62" s="81"/>
      <c r="U62" s="81"/>
      <c r="V62" s="81"/>
      <c r="W62" s="81"/>
      <c r="X62" s="47"/>
      <c r="Y62" s="47"/>
      <c r="Z62" s="47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</row>
    <row r="63"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47"/>
      <c r="Y63" s="47"/>
      <c r="Z63" s="47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</row>
    <row r="64"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</row>
    <row r="65"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</row>
    <row r="66"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</row>
    <row r="67"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</row>
    <row r="68"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</row>
    <row r="69"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</row>
    <row r="70"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</row>
    <row r="71"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</row>
    <row r="72"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</row>
    <row r="73"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</row>
    <row r="74"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</row>
    <row r="75"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</row>
    <row r="76"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</row>
    <row r="77"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</row>
    <row r="78"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</row>
    <row r="79"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</row>
    <row r="80"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</row>
    <row r="81"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</row>
    <row r="82"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</row>
    <row r="83"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</row>
    <row r="84"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</row>
    <row r="85"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</row>
    <row r="86"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</row>
    <row r="87"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</row>
    <row r="88"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</row>
    <row r="89"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</row>
    <row r="90"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</row>
    <row r="91"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</row>
    <row r="92"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</row>
    <row r="93"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</row>
    <row r="94"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</row>
    <row r="95"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</row>
    <row r="96"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</row>
    <row r="97"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</row>
    <row r="98"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</row>
    <row r="99"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</row>
    <row r="100"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</row>
    <row r="101"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</row>
    <row r="102"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</row>
    <row r="103"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</row>
    <row r="104"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</row>
    <row r="105"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</row>
    <row r="106"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</row>
    <row r="107"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</row>
    <row r="108"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</row>
    <row r="109"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</row>
    <row r="110"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</row>
    <row r="111"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</row>
    <row r="112"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</row>
    <row r="113"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</row>
    <row r="114"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</row>
    <row r="115"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</row>
    <row r="116"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</row>
    <row r="117"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</row>
    <row r="118"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</row>
    <row r="119"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</row>
    <row r="120"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</row>
    <row r="121"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</row>
    <row r="122"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</row>
    <row r="123"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</row>
    <row r="124"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</row>
    <row r="125"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</row>
    <row r="126"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</row>
    <row r="127"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</row>
    <row r="128"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</row>
    <row r="129"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</row>
    <row r="130"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</row>
    <row r="131"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</row>
    <row r="132"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</row>
    <row r="133"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</row>
    <row r="134"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</row>
    <row r="135"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</row>
    <row r="136"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</row>
    <row r="137"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</row>
    <row r="138"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</row>
    <row r="139"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</row>
    <row r="140"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</row>
    <row r="141"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</row>
    <row r="142"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</row>
    <row r="143"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</row>
    <row r="144"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</row>
    <row r="145"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</row>
    <row r="146"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</row>
    <row r="147"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</row>
    <row r="148"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</row>
    <row r="149"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</row>
    <row r="150"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</row>
    <row r="151"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</row>
    <row r="152"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</row>
    <row r="153"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</row>
    <row r="154"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</row>
    <row r="155"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</row>
    <row r="156"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</row>
    <row r="157"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</row>
    <row r="158"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</row>
    <row r="159"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</row>
    <row r="160"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</row>
    <row r="161"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</row>
    <row r="162"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</row>
    <row r="163"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</row>
    <row r="164"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</row>
    <row r="165"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</row>
    <row r="166"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</row>
    <row r="167"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</row>
    <row r="168"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</row>
    <row r="169"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</row>
    <row r="170"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</row>
    <row r="171"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</row>
    <row r="172"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</row>
    <row r="173"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</row>
    <row r="174"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</row>
    <row r="175"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</row>
    <row r="176"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</row>
    <row r="177"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</row>
    <row r="178"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</row>
    <row r="179"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</row>
    <row r="180"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</row>
    <row r="181"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</row>
    <row r="182"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</row>
    <row r="183"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</row>
    <row r="184"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</row>
    <row r="185"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</row>
    <row r="186"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</row>
    <row r="187"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</row>
    <row r="188"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</row>
    <row r="189"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</row>
    <row r="190"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</row>
    <row r="191"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</row>
    <row r="192"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</row>
    <row r="193"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</row>
    <row r="194"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</row>
    <row r="195"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</row>
    <row r="196"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</row>
    <row r="197"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</row>
    <row r="198"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</row>
    <row r="199"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</row>
    <row r="200"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</row>
    <row r="201"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</row>
    <row r="202"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</row>
    <row r="203"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</row>
    <row r="204"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</row>
    <row r="205"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</row>
    <row r="206"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</row>
    <row r="207"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</row>
    <row r="208"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</row>
    <row r="209"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</row>
    <row r="210"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</row>
    <row r="211"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</row>
    <row r="212"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</row>
    <row r="213"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</row>
    <row r="214"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</row>
    <row r="215"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</row>
    <row r="216"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</row>
    <row r="217"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</row>
    <row r="218"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</row>
    <row r="219"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</row>
    <row r="220"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</row>
    <row r="221"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</row>
    <row r="222"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</row>
    <row r="223"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</row>
    <row r="224"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</row>
    <row r="225"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</row>
    <row r="226"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</row>
    <row r="227"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</row>
    <row r="228"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</row>
    <row r="229"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</row>
    <row r="230"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</row>
    <row r="231"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</row>
    <row r="232"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</row>
    <row r="233"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</row>
    <row r="234"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</row>
    <row r="235"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</row>
    <row r="236"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</row>
    <row r="237"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</row>
    <row r="238"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</row>
    <row r="239"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</row>
    <row r="240"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</row>
    <row r="241"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</row>
    <row r="242"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</row>
    <row r="243"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</row>
    <row r="244"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</row>
    <row r="245"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</row>
    <row r="246"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</row>
    <row r="247"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</row>
    <row r="248"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</row>
    <row r="249"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</row>
    <row r="250"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</row>
    <row r="251"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</row>
    <row r="252"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</row>
    <row r="253"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</row>
    <row r="254"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</row>
    <row r="255"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</row>
    <row r="256"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</row>
    <row r="257"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</row>
    <row r="258"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</row>
    <row r="259"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</row>
    <row r="260"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</row>
    <row r="261"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</row>
    <row r="262"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</row>
    <row r="263"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</row>
    <row r="264"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</row>
    <row r="265"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</row>
    <row r="266"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</row>
    <row r="267"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</row>
    <row r="268"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</row>
    <row r="269"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</row>
    <row r="270"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</row>
    <row r="271"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</row>
    <row r="272"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</row>
    <row r="273"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</row>
    <row r="274"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</row>
    <row r="275"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</row>
    <row r="276"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</row>
    <row r="277"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</row>
    <row r="278"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</row>
    <row r="279"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</row>
    <row r="280"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</row>
    <row r="281"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</row>
    <row r="282"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</row>
    <row r="283"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</row>
    <row r="284"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</row>
    <row r="285"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</row>
    <row r="286"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</row>
    <row r="287"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</row>
    <row r="288"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</row>
    <row r="289"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</row>
    <row r="290"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</row>
    <row r="291"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</row>
    <row r="292"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</row>
    <row r="293"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</row>
    <row r="294"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</row>
    <row r="295"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</row>
    <row r="296"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</row>
    <row r="297"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</row>
    <row r="298"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</row>
    <row r="299"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</row>
    <row r="300"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</row>
    <row r="301"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</row>
    <row r="302"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</row>
    <row r="303"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</row>
    <row r="304"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</row>
    <row r="305"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</row>
    <row r="306"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</row>
    <row r="307"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</row>
    <row r="308"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</row>
    <row r="309"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</row>
    <row r="310"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</row>
    <row r="311"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</row>
    <row r="312"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</row>
    <row r="313"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</row>
    <row r="314"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</row>
    <row r="315"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</row>
    <row r="316"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</row>
    <row r="317"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</row>
    <row r="318"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</row>
    <row r="319"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</row>
    <row r="320"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</row>
    <row r="321"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</row>
    <row r="322"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</row>
    <row r="323"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</row>
    <row r="324"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</row>
    <row r="325"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</row>
    <row r="326"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</row>
    <row r="327"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</row>
    <row r="328"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</row>
    <row r="329"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</row>
    <row r="330"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</row>
    <row r="331"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</row>
    <row r="332"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</row>
    <row r="333"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</row>
    <row r="334"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</row>
    <row r="335"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</row>
    <row r="336"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</row>
    <row r="337"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</row>
    <row r="338"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</row>
    <row r="339"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</row>
    <row r="340"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</row>
    <row r="341"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</row>
    <row r="342"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</row>
    <row r="347"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</row>
    <row r="348"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</row>
    <row r="349"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</row>
    <row r="350"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</row>
    <row r="351"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</row>
    <row r="352"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</row>
    <row r="353"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</row>
    <row r="354"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</row>
    <row r="355"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</row>
    <row r="356"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</row>
    <row r="357"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</row>
    <row r="358"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</row>
    <row r="359"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</row>
    <row r="360"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</row>
    <row r="361"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</row>
    <row r="362"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</row>
    <row r="363"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</row>
    <row r="364"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</row>
    <row r="365"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</row>
    <row r="366"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</row>
    <row r="367"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</row>
    <row r="368"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</row>
    <row r="369"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</row>
    <row r="370"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</row>
    <row r="371"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</row>
    <row r="372"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</row>
    <row r="373"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</row>
    <row r="374"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</row>
    <row r="375"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</row>
    <row r="376"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</row>
    <row r="377"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</row>
    <row r="378"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</row>
    <row r="379"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</row>
    <row r="380"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</row>
    <row r="381"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</row>
    <row r="382"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</row>
    <row r="383"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</row>
    <row r="384"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</row>
    <row r="385"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</row>
    <row r="386"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</row>
    <row r="387"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</row>
    <row r="388"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</row>
    <row r="389"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</row>
    <row r="390"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</row>
    <row r="391"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</row>
    <row r="392"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</row>
    <row r="393"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</row>
    <row r="394"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</row>
    <row r="395"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</row>
    <row r="396"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</row>
    <row r="397"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</row>
    <row r="398"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</row>
    <row r="399"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</row>
    <row r="400"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</row>
    <row r="401"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</row>
    <row r="402"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</row>
    <row r="403"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</row>
    <row r="404"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</row>
    <row r="405"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</row>
    <row r="406"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</row>
    <row r="407"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</row>
    <row r="408"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</row>
    <row r="409"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</row>
    <row r="410"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</row>
    <row r="411"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</row>
    <row r="412"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</row>
    <row r="413"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</row>
    <row r="414"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</row>
    <row r="415"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</row>
    <row r="416"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</row>
    <row r="417"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</row>
    <row r="418"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</row>
    <row r="419"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</row>
    <row r="420"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</row>
  </sheetData>
  <mergeCells count="15">
    <mergeCell ref="E1:H1"/>
    <mergeCell ref="E2:H2"/>
    <mergeCell ref="I2:K2"/>
    <mergeCell ref="L2:O2"/>
    <mergeCell ref="P2:S2"/>
    <mergeCell ref="T2:Y2"/>
    <mergeCell ref="Z2:AE2"/>
    <mergeCell ref="AF2:AK2"/>
    <mergeCell ref="A1:B2"/>
    <mergeCell ref="I1:K1"/>
    <mergeCell ref="L1:O1"/>
    <mergeCell ref="P1:S1"/>
    <mergeCell ref="T1:Y1"/>
    <mergeCell ref="Z1:AE1"/>
    <mergeCell ref="AF1:AK1"/>
  </mergeCells>
  <hyperlinks>
    <hyperlink r:id="rId1" ref="A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9.25"/>
    <col customWidth="1" min="2" max="2" width="19.5"/>
    <col customWidth="1" min="3" max="3" width="14.13"/>
    <col customWidth="1" min="4" max="4" width="12.25"/>
  </cols>
  <sheetData>
    <row r="1">
      <c r="A1" s="1" t="s">
        <v>91</v>
      </c>
      <c r="B1" s="82"/>
      <c r="C1" s="2"/>
      <c r="D1" s="3"/>
      <c r="E1" s="4">
        <v>45803.0</v>
      </c>
      <c r="F1" s="5"/>
      <c r="G1" s="5"/>
      <c r="H1" s="6"/>
      <c r="I1" s="4">
        <v>45897.0</v>
      </c>
      <c r="J1" s="5"/>
      <c r="K1" s="5"/>
      <c r="L1" s="6"/>
      <c r="M1" s="115" t="s">
        <v>224</v>
      </c>
      <c r="N1" s="5"/>
      <c r="O1" s="5"/>
      <c r="P1" s="6"/>
      <c r="Q1" s="7">
        <v>46023.0</v>
      </c>
      <c r="R1" s="8"/>
      <c r="S1" s="8"/>
      <c r="T1" s="9"/>
      <c r="U1" s="10"/>
      <c r="V1" s="11"/>
      <c r="W1" s="11"/>
      <c r="X1" s="11"/>
      <c r="Y1" s="11"/>
      <c r="Z1" s="12"/>
      <c r="AA1" s="10"/>
      <c r="AB1" s="11"/>
      <c r="AC1" s="11"/>
      <c r="AD1" s="11"/>
      <c r="AE1" s="11"/>
      <c r="AF1" s="12"/>
      <c r="AG1" s="104"/>
    </row>
    <row r="2">
      <c r="A2" s="84"/>
      <c r="B2" s="17"/>
      <c r="C2" s="14"/>
      <c r="D2" s="15"/>
      <c r="E2" s="16" t="s">
        <v>1</v>
      </c>
      <c r="F2" s="17"/>
      <c r="G2" s="17"/>
      <c r="H2" s="18"/>
      <c r="I2" s="16" t="s">
        <v>1</v>
      </c>
      <c r="J2" s="17"/>
      <c r="K2" s="17"/>
      <c r="L2" s="18"/>
      <c r="M2" s="16" t="s">
        <v>1</v>
      </c>
      <c r="N2" s="17"/>
      <c r="O2" s="17"/>
      <c r="P2" s="18"/>
      <c r="Q2" s="16" t="s">
        <v>1</v>
      </c>
      <c r="R2" s="17"/>
      <c r="S2" s="17"/>
      <c r="T2" s="19"/>
      <c r="U2" s="20" t="s">
        <v>1</v>
      </c>
      <c r="V2" s="21"/>
      <c r="W2" s="21"/>
      <c r="X2" s="21"/>
      <c r="Y2" s="21"/>
      <c r="Z2" s="22"/>
      <c r="AA2" s="20" t="s">
        <v>1</v>
      </c>
      <c r="AB2" s="21"/>
      <c r="AC2" s="21"/>
      <c r="AD2" s="21"/>
      <c r="AE2" s="21"/>
      <c r="AF2" s="22"/>
      <c r="AG2" s="105"/>
    </row>
    <row r="3">
      <c r="A3" s="23" t="s">
        <v>2</v>
      </c>
      <c r="B3" s="24" t="s">
        <v>3</v>
      </c>
      <c r="C3" s="24" t="s">
        <v>4</v>
      </c>
      <c r="D3" s="24" t="s">
        <v>5</v>
      </c>
      <c r="E3" s="25" t="s">
        <v>6</v>
      </c>
      <c r="F3" s="25" t="s">
        <v>7</v>
      </c>
      <c r="G3" s="25" t="s">
        <v>8</v>
      </c>
      <c r="H3" s="25" t="s">
        <v>225</v>
      </c>
      <c r="I3" s="25" t="s">
        <v>6</v>
      </c>
      <c r="J3" s="25" t="s">
        <v>92</v>
      </c>
      <c r="K3" s="25" t="s">
        <v>13</v>
      </c>
      <c r="L3" s="25" t="s">
        <v>226</v>
      </c>
      <c r="M3" s="25" t="s">
        <v>227</v>
      </c>
      <c r="N3" s="25" t="s">
        <v>228</v>
      </c>
      <c r="O3" s="25" t="s">
        <v>146</v>
      </c>
      <c r="P3" s="25" t="s">
        <v>229</v>
      </c>
      <c r="Q3" s="25" t="s">
        <v>230</v>
      </c>
      <c r="R3" s="25" t="s">
        <v>231</v>
      </c>
      <c r="S3" s="25" t="s">
        <v>232</v>
      </c>
      <c r="T3" s="25" t="s">
        <v>233</v>
      </c>
      <c r="U3" s="27" t="s">
        <v>24</v>
      </c>
      <c r="V3" s="27" t="s">
        <v>25</v>
      </c>
      <c r="W3" s="27" t="s">
        <v>26</v>
      </c>
      <c r="X3" s="27" t="s">
        <v>27</v>
      </c>
      <c r="Y3" s="28" t="s">
        <v>28</v>
      </c>
      <c r="Z3" s="28" t="s">
        <v>29</v>
      </c>
      <c r="AA3" s="27" t="s">
        <v>24</v>
      </c>
      <c r="AB3" s="27" t="s">
        <v>25</v>
      </c>
      <c r="AC3" s="27" t="s">
        <v>26</v>
      </c>
      <c r="AD3" s="27" t="s">
        <v>27</v>
      </c>
      <c r="AE3" s="28" t="s">
        <v>28</v>
      </c>
      <c r="AF3" s="28" t="s">
        <v>29</v>
      </c>
      <c r="AG3" s="106"/>
    </row>
    <row r="4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108"/>
      <c r="M4" s="31"/>
      <c r="N4" s="31"/>
      <c r="O4" s="31"/>
      <c r="P4" s="31"/>
      <c r="Q4" s="108"/>
      <c r="R4" s="108"/>
      <c r="S4" s="108"/>
      <c r="T4" s="108"/>
      <c r="U4" s="30"/>
      <c r="V4" s="30"/>
      <c r="W4" s="30"/>
      <c r="X4" s="32"/>
      <c r="Y4" s="33"/>
      <c r="Z4" s="33"/>
      <c r="AA4" s="30"/>
      <c r="AB4" s="30"/>
      <c r="AC4" s="30"/>
      <c r="AD4" s="32"/>
      <c r="AE4" s="33"/>
      <c r="AF4" s="33"/>
      <c r="AG4" s="109"/>
    </row>
    <row r="5">
      <c r="A5" s="39">
        <v>1.0</v>
      </c>
      <c r="B5" s="48" t="s">
        <v>234</v>
      </c>
      <c r="C5" s="48" t="s">
        <v>235</v>
      </c>
      <c r="D5" s="48">
        <v>900603.0</v>
      </c>
      <c r="E5" s="39">
        <v>14.0</v>
      </c>
      <c r="F5" s="39">
        <v>16.0</v>
      </c>
      <c r="G5" s="39">
        <v>15.0</v>
      </c>
      <c r="H5" s="39">
        <v>14.0</v>
      </c>
      <c r="I5" s="39">
        <v>15.0</v>
      </c>
      <c r="J5" s="39">
        <v>18.0</v>
      </c>
      <c r="K5" s="39">
        <v>19.0</v>
      </c>
      <c r="L5" s="39">
        <v>11.0</v>
      </c>
      <c r="M5" s="40">
        <v>14.0</v>
      </c>
      <c r="N5" s="40">
        <v>15.0</v>
      </c>
      <c r="O5" s="40">
        <v>15.0</v>
      </c>
      <c r="P5" s="40">
        <v>15.0</v>
      </c>
      <c r="Q5" s="39">
        <v>36.0</v>
      </c>
      <c r="R5" s="39">
        <v>39.0</v>
      </c>
      <c r="S5" s="39">
        <v>39.0</v>
      </c>
      <c r="T5" s="39">
        <v>40.0</v>
      </c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</row>
    <row r="6">
      <c r="A6" s="39">
        <v>2.0</v>
      </c>
      <c r="B6" s="48" t="s">
        <v>236</v>
      </c>
      <c r="C6" s="48" t="s">
        <v>237</v>
      </c>
      <c r="D6" s="48">
        <v>900800.0</v>
      </c>
      <c r="E6" s="39">
        <v>11.0</v>
      </c>
      <c r="F6" s="39">
        <v>14.0</v>
      </c>
      <c r="G6" s="39">
        <v>10.0</v>
      </c>
      <c r="H6" s="39">
        <v>4.0</v>
      </c>
      <c r="I6" s="39">
        <v>11.0</v>
      </c>
      <c r="J6" s="39">
        <v>10.0</v>
      </c>
      <c r="K6" s="39">
        <v>13.0</v>
      </c>
      <c r="L6" s="41">
        <v>2.0</v>
      </c>
      <c r="M6" s="40">
        <v>14.0</v>
      </c>
      <c r="N6" s="40">
        <v>13.0</v>
      </c>
      <c r="O6" s="40">
        <v>9.0</v>
      </c>
      <c r="P6" s="40">
        <v>13.0</v>
      </c>
      <c r="Q6" s="39">
        <v>35.0</v>
      </c>
      <c r="R6" s="39">
        <v>33.0</v>
      </c>
      <c r="S6" s="39">
        <v>39.0</v>
      </c>
      <c r="T6" s="39">
        <v>33.0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</row>
    <row r="7">
      <c r="A7" s="39">
        <v>3.0</v>
      </c>
      <c r="B7" s="48" t="s">
        <v>238</v>
      </c>
      <c r="C7" s="48" t="s">
        <v>239</v>
      </c>
      <c r="D7" s="48">
        <v>900763.0</v>
      </c>
      <c r="E7" s="39">
        <v>17.0</v>
      </c>
      <c r="F7" s="39">
        <v>16.0</v>
      </c>
      <c r="G7" s="39">
        <v>15.0</v>
      </c>
      <c r="H7" s="39">
        <v>15.0</v>
      </c>
      <c r="I7" s="39">
        <v>15.0</v>
      </c>
      <c r="J7" s="39">
        <v>17.0</v>
      </c>
      <c r="K7" s="39">
        <v>10.0</v>
      </c>
      <c r="L7" s="39">
        <v>11.0</v>
      </c>
      <c r="M7" s="40">
        <v>9.0</v>
      </c>
      <c r="N7" s="40">
        <v>12.0</v>
      </c>
      <c r="O7" s="40">
        <v>11.0</v>
      </c>
      <c r="P7" s="40">
        <v>12.0</v>
      </c>
      <c r="Q7" s="39">
        <v>33.0</v>
      </c>
      <c r="R7" s="39">
        <v>32.0</v>
      </c>
      <c r="S7" s="39">
        <v>34.0</v>
      </c>
      <c r="T7" s="39">
        <v>29.0</v>
      </c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</row>
    <row r="8">
      <c r="A8" s="39">
        <v>4.0</v>
      </c>
      <c r="B8" s="48" t="s">
        <v>240</v>
      </c>
      <c r="C8" s="48" t="s">
        <v>241</v>
      </c>
      <c r="D8" s="48">
        <v>900799.0</v>
      </c>
      <c r="E8" s="39">
        <v>14.0</v>
      </c>
      <c r="F8" s="39">
        <v>12.0</v>
      </c>
      <c r="G8" s="39">
        <v>13.0</v>
      </c>
      <c r="H8" s="39">
        <v>10.0</v>
      </c>
      <c r="I8" s="39">
        <v>13.0</v>
      </c>
      <c r="J8" s="39">
        <v>14.0</v>
      </c>
      <c r="K8" s="39">
        <v>13.0</v>
      </c>
      <c r="L8" s="39">
        <v>13.0</v>
      </c>
      <c r="M8" s="40">
        <v>10.0</v>
      </c>
      <c r="N8" s="40">
        <v>14.0</v>
      </c>
      <c r="O8" s="40">
        <v>9.0</v>
      </c>
      <c r="P8" s="40">
        <v>15.0</v>
      </c>
      <c r="Q8" s="39">
        <v>38.0</v>
      </c>
      <c r="R8" s="39">
        <v>33.0</v>
      </c>
      <c r="S8" s="39">
        <v>39.0</v>
      </c>
      <c r="T8" s="39">
        <v>37.0</v>
      </c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</row>
    <row r="9">
      <c r="A9" s="39">
        <v>5.0</v>
      </c>
      <c r="B9" s="48" t="s">
        <v>242</v>
      </c>
      <c r="C9" s="48" t="s">
        <v>239</v>
      </c>
      <c r="D9" s="48">
        <v>900764.0</v>
      </c>
      <c r="E9" s="41">
        <v>7.0</v>
      </c>
      <c r="F9" s="41">
        <v>12.0</v>
      </c>
      <c r="G9" s="41">
        <v>11.0</v>
      </c>
      <c r="H9" s="39">
        <v>2.0</v>
      </c>
      <c r="I9" s="39">
        <v>11.0</v>
      </c>
      <c r="J9" s="41" t="s">
        <v>32</v>
      </c>
      <c r="K9" s="41">
        <v>2.0</v>
      </c>
      <c r="L9" s="41" t="s">
        <v>32</v>
      </c>
      <c r="M9" s="40">
        <v>12.0</v>
      </c>
      <c r="N9" s="40">
        <v>12.0</v>
      </c>
      <c r="O9" s="41">
        <v>3.0</v>
      </c>
      <c r="P9" s="40">
        <v>10.0</v>
      </c>
      <c r="Q9" s="39">
        <v>21.0</v>
      </c>
      <c r="R9" s="39">
        <v>24.0</v>
      </c>
      <c r="S9" s="39">
        <v>28.0</v>
      </c>
      <c r="T9" s="39">
        <v>31.0</v>
      </c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</row>
    <row r="10">
      <c r="A10" s="39">
        <v>6.0</v>
      </c>
      <c r="B10" s="48" t="s">
        <v>243</v>
      </c>
      <c r="C10" s="48" t="s">
        <v>244</v>
      </c>
      <c r="D10" s="48">
        <v>900986.0</v>
      </c>
      <c r="E10" s="41">
        <v>14.0</v>
      </c>
      <c r="F10" s="41">
        <v>16.0</v>
      </c>
      <c r="G10" s="41">
        <v>13.0</v>
      </c>
      <c r="H10" s="39">
        <v>14.0</v>
      </c>
      <c r="I10" s="39">
        <v>14.0</v>
      </c>
      <c r="J10" s="39">
        <v>15.0</v>
      </c>
      <c r="K10" s="41">
        <v>4.0</v>
      </c>
      <c r="L10" s="39">
        <v>10.0</v>
      </c>
      <c r="M10" s="40">
        <v>8.0</v>
      </c>
      <c r="N10" s="40">
        <v>9.0</v>
      </c>
      <c r="O10" s="40">
        <v>8.0</v>
      </c>
      <c r="P10" s="41">
        <v>6.0</v>
      </c>
      <c r="Q10" s="40">
        <v>32.0</v>
      </c>
      <c r="R10" s="40">
        <v>33.0</v>
      </c>
      <c r="S10" s="40">
        <v>34.0</v>
      </c>
      <c r="T10" s="39">
        <v>22.0</v>
      </c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</row>
    <row r="11">
      <c r="A11" s="39">
        <v>7.0</v>
      </c>
      <c r="B11" s="48" t="s">
        <v>245</v>
      </c>
      <c r="C11" s="48" t="s">
        <v>246</v>
      </c>
      <c r="D11" s="48">
        <v>900982.0</v>
      </c>
      <c r="E11" s="41" t="s">
        <v>32</v>
      </c>
      <c r="F11" s="41" t="s">
        <v>32</v>
      </c>
      <c r="G11" s="41" t="s">
        <v>32</v>
      </c>
      <c r="H11" s="39" t="s">
        <v>32</v>
      </c>
      <c r="I11" s="39">
        <v>15.0</v>
      </c>
      <c r="J11" s="39">
        <v>10.0</v>
      </c>
      <c r="K11" s="39">
        <v>10.0</v>
      </c>
      <c r="L11" s="39">
        <v>10.0</v>
      </c>
      <c r="M11" s="40">
        <v>12.0</v>
      </c>
      <c r="N11" s="40">
        <v>13.0</v>
      </c>
      <c r="O11" s="40">
        <v>12.0</v>
      </c>
      <c r="P11" s="40">
        <v>15.0</v>
      </c>
      <c r="Q11" s="39">
        <v>20.0</v>
      </c>
      <c r="R11" s="39">
        <v>29.0</v>
      </c>
      <c r="S11" s="39">
        <v>29.0</v>
      </c>
      <c r="T11" s="39">
        <v>22.0</v>
      </c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</row>
    <row r="12">
      <c r="A12" s="39">
        <v>8.0</v>
      </c>
      <c r="B12" s="48" t="s">
        <v>247</v>
      </c>
      <c r="C12" s="48" t="s">
        <v>248</v>
      </c>
      <c r="D12" s="48">
        <v>901126.0</v>
      </c>
      <c r="E12" s="41">
        <v>14.0</v>
      </c>
      <c r="F12" s="41">
        <v>11.0</v>
      </c>
      <c r="G12" s="41">
        <v>14.0</v>
      </c>
      <c r="H12" s="39">
        <v>10.0</v>
      </c>
      <c r="I12" s="39">
        <v>10.0</v>
      </c>
      <c r="J12" s="39">
        <v>10.0</v>
      </c>
      <c r="K12" s="39">
        <v>11.0</v>
      </c>
      <c r="L12" s="39">
        <v>12.0</v>
      </c>
      <c r="M12" s="40">
        <v>9.0</v>
      </c>
      <c r="N12" s="40">
        <v>10.0</v>
      </c>
      <c r="O12" s="41">
        <v>4.0</v>
      </c>
      <c r="P12" s="41">
        <v>2.0</v>
      </c>
      <c r="Q12" s="39">
        <v>25.0</v>
      </c>
      <c r="R12" s="39">
        <v>26.0</v>
      </c>
      <c r="S12" s="39">
        <v>32.0</v>
      </c>
      <c r="T12" s="41">
        <v>12.0</v>
      </c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</row>
    <row r="13">
      <c r="A13" s="39">
        <v>9.0</v>
      </c>
      <c r="B13" s="48" t="s">
        <v>249</v>
      </c>
      <c r="C13" s="48" t="s">
        <v>250</v>
      </c>
      <c r="D13" s="48">
        <v>900923.0</v>
      </c>
      <c r="E13" s="41">
        <v>11.0</v>
      </c>
      <c r="F13" s="41">
        <v>10.0</v>
      </c>
      <c r="G13" s="41">
        <v>0.0</v>
      </c>
      <c r="H13" s="39">
        <v>2.0</v>
      </c>
      <c r="I13" s="41">
        <v>8.0</v>
      </c>
      <c r="J13" s="41">
        <v>7.0</v>
      </c>
      <c r="K13" s="41">
        <v>3.0</v>
      </c>
      <c r="L13" s="41">
        <v>1.0</v>
      </c>
      <c r="M13" s="40">
        <v>9.0</v>
      </c>
      <c r="N13" s="40">
        <v>8.0</v>
      </c>
      <c r="O13" s="40">
        <v>8.0</v>
      </c>
      <c r="P13" s="40">
        <v>13.0</v>
      </c>
      <c r="Q13" s="39">
        <v>27.0</v>
      </c>
      <c r="R13" s="39">
        <v>31.0</v>
      </c>
      <c r="S13" s="39">
        <v>31.0</v>
      </c>
      <c r="T13" s="39">
        <v>25.0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</row>
    <row r="14">
      <c r="A14" s="39">
        <v>10.0</v>
      </c>
      <c r="B14" s="48" t="s">
        <v>251</v>
      </c>
      <c r="C14" s="48"/>
      <c r="D14" s="48">
        <v>900864.0</v>
      </c>
      <c r="E14" s="39">
        <v>11.0</v>
      </c>
      <c r="F14" s="39">
        <v>8.0</v>
      </c>
      <c r="G14" s="39">
        <v>10.0</v>
      </c>
      <c r="H14" s="39">
        <v>4.0</v>
      </c>
      <c r="I14" s="39">
        <v>10.0</v>
      </c>
      <c r="J14" s="39">
        <v>10.0</v>
      </c>
      <c r="K14" s="41">
        <v>5.0</v>
      </c>
      <c r="L14" s="41">
        <v>1.0</v>
      </c>
      <c r="M14" s="41">
        <v>4.0</v>
      </c>
      <c r="N14" s="41">
        <v>0.0</v>
      </c>
      <c r="O14" s="41">
        <v>4.0</v>
      </c>
      <c r="P14" s="41">
        <v>6.0</v>
      </c>
      <c r="Q14" s="41">
        <v>13.0</v>
      </c>
      <c r="R14" s="41">
        <v>11.0</v>
      </c>
      <c r="S14" s="39">
        <v>29.0</v>
      </c>
      <c r="T14" s="41">
        <v>11.0</v>
      </c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</row>
    <row r="15">
      <c r="A15" s="39">
        <v>11.0</v>
      </c>
      <c r="B15" s="48" t="s">
        <v>252</v>
      </c>
      <c r="C15" s="48" t="s">
        <v>253</v>
      </c>
      <c r="D15" s="48">
        <v>900797.0</v>
      </c>
      <c r="E15" s="39">
        <v>11.0</v>
      </c>
      <c r="F15" s="39">
        <v>13.0</v>
      </c>
      <c r="G15" s="39">
        <v>7.0</v>
      </c>
      <c r="H15" s="39">
        <v>11.0</v>
      </c>
      <c r="I15" s="39">
        <v>12.0</v>
      </c>
      <c r="J15" s="39">
        <v>10.0</v>
      </c>
      <c r="K15" s="41">
        <v>1.0</v>
      </c>
      <c r="L15" s="39">
        <v>10.0</v>
      </c>
      <c r="M15" s="40">
        <v>9.0</v>
      </c>
      <c r="N15" s="40">
        <v>8.0</v>
      </c>
      <c r="O15" s="40">
        <v>8.0</v>
      </c>
      <c r="P15" s="41">
        <v>5.0</v>
      </c>
      <c r="Q15" s="39">
        <v>22.0</v>
      </c>
      <c r="R15" s="39">
        <v>37.0</v>
      </c>
      <c r="S15" s="39">
        <v>22.0</v>
      </c>
      <c r="T15" s="39">
        <v>30.0</v>
      </c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</row>
    <row r="16">
      <c r="A16" s="39">
        <v>12.0</v>
      </c>
      <c r="B16" s="39" t="s">
        <v>254</v>
      </c>
      <c r="C16" s="39" t="s">
        <v>255</v>
      </c>
      <c r="D16" s="39">
        <v>900963.0</v>
      </c>
      <c r="E16" s="39">
        <v>18.0</v>
      </c>
      <c r="F16" s="39">
        <v>18.0</v>
      </c>
      <c r="G16" s="39">
        <v>18.0</v>
      </c>
      <c r="H16" s="39">
        <v>18.0</v>
      </c>
      <c r="I16" s="39">
        <v>18.0</v>
      </c>
      <c r="J16" s="39">
        <v>18.0</v>
      </c>
      <c r="K16" s="39">
        <v>10.0</v>
      </c>
      <c r="L16" s="39">
        <v>12.0</v>
      </c>
      <c r="M16" s="40">
        <v>10.0</v>
      </c>
      <c r="N16" s="40">
        <v>9.0</v>
      </c>
      <c r="O16" s="40">
        <v>7.0</v>
      </c>
      <c r="P16" s="40">
        <v>15.0</v>
      </c>
      <c r="Q16" s="39">
        <v>36.0</v>
      </c>
      <c r="R16" s="39">
        <v>36.0</v>
      </c>
      <c r="S16" s="39">
        <v>29.0</v>
      </c>
      <c r="T16" s="39">
        <v>35.0</v>
      </c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</row>
    <row r="17">
      <c r="A17" s="39">
        <v>13.0</v>
      </c>
      <c r="B17" s="48" t="s">
        <v>256</v>
      </c>
      <c r="C17" s="48" t="s">
        <v>257</v>
      </c>
      <c r="D17" s="48">
        <v>900985.0</v>
      </c>
      <c r="E17" s="39">
        <v>18.0</v>
      </c>
      <c r="F17" s="39">
        <v>18.0</v>
      </c>
      <c r="G17" s="39">
        <v>19.0</v>
      </c>
      <c r="H17" s="39">
        <v>18.0</v>
      </c>
      <c r="I17" s="39">
        <v>18.0</v>
      </c>
      <c r="J17" s="39">
        <v>16.0</v>
      </c>
      <c r="K17" s="39">
        <v>17.0</v>
      </c>
      <c r="L17" s="39">
        <v>11.0</v>
      </c>
      <c r="M17" s="40">
        <v>13.0</v>
      </c>
      <c r="N17" s="40">
        <v>12.0</v>
      </c>
      <c r="O17" s="40">
        <v>10.0</v>
      </c>
      <c r="P17" s="40">
        <v>9.0</v>
      </c>
      <c r="Q17" s="39">
        <v>34.0</v>
      </c>
      <c r="R17" s="39">
        <v>29.0</v>
      </c>
      <c r="S17" s="39">
        <v>29.0</v>
      </c>
      <c r="T17" s="39">
        <v>31.0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</row>
    <row r="18">
      <c r="A18" s="39">
        <v>14.0</v>
      </c>
      <c r="B18" s="48" t="s">
        <v>258</v>
      </c>
      <c r="C18" s="48" t="s">
        <v>259</v>
      </c>
      <c r="D18" s="48">
        <v>901098.0</v>
      </c>
      <c r="E18" s="39">
        <v>17.0</v>
      </c>
      <c r="F18" s="39">
        <v>15.0</v>
      </c>
      <c r="G18" s="39">
        <v>14.0</v>
      </c>
      <c r="H18" s="39">
        <v>18.0</v>
      </c>
      <c r="I18" s="39">
        <v>14.0</v>
      </c>
      <c r="J18" s="39">
        <v>16.0</v>
      </c>
      <c r="K18" s="39">
        <v>10.0</v>
      </c>
      <c r="L18" s="39">
        <v>10.0</v>
      </c>
      <c r="M18" s="40">
        <v>10.0</v>
      </c>
      <c r="N18" s="40">
        <v>12.0</v>
      </c>
      <c r="O18" s="40">
        <v>14.0</v>
      </c>
      <c r="P18" s="40">
        <v>15.0</v>
      </c>
      <c r="Q18" s="39">
        <v>36.0</v>
      </c>
      <c r="R18" s="39">
        <v>36.0</v>
      </c>
      <c r="S18" s="39">
        <v>37.0</v>
      </c>
      <c r="T18" s="39">
        <v>36.0</v>
      </c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>
      <c r="A19" s="39">
        <v>15.0</v>
      </c>
      <c r="B19" s="48" t="s">
        <v>260</v>
      </c>
      <c r="C19" s="48" t="s">
        <v>261</v>
      </c>
      <c r="D19" s="48">
        <v>900959.0</v>
      </c>
      <c r="E19" s="39"/>
      <c r="F19" s="39"/>
      <c r="G19" s="39"/>
      <c r="H19" s="80"/>
      <c r="I19" s="39">
        <v>11.0</v>
      </c>
      <c r="J19" s="39">
        <v>14.0</v>
      </c>
      <c r="K19" s="39">
        <v>13.0</v>
      </c>
      <c r="L19" s="39">
        <v>10.0</v>
      </c>
      <c r="M19" s="40">
        <v>13.0</v>
      </c>
      <c r="N19" s="40">
        <v>9.0</v>
      </c>
      <c r="O19" s="40">
        <v>8.0</v>
      </c>
      <c r="P19" s="40">
        <v>15.0</v>
      </c>
      <c r="Q19" s="39">
        <v>29.0</v>
      </c>
      <c r="R19" s="39">
        <v>37.0</v>
      </c>
      <c r="S19" s="39">
        <v>23.0</v>
      </c>
      <c r="T19" s="39">
        <v>33.0</v>
      </c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</row>
    <row r="20">
      <c r="A20" s="39">
        <v>16.0</v>
      </c>
      <c r="B20" s="48" t="s">
        <v>262</v>
      </c>
      <c r="C20" s="48" t="s">
        <v>263</v>
      </c>
      <c r="D20" s="48">
        <v>900508.0</v>
      </c>
      <c r="E20" s="41">
        <v>10.0</v>
      </c>
      <c r="F20" s="41">
        <v>10.0</v>
      </c>
      <c r="G20" s="41">
        <v>10.0</v>
      </c>
      <c r="H20" s="41">
        <v>12.0</v>
      </c>
      <c r="I20" s="41"/>
      <c r="J20" s="39">
        <v>11.0</v>
      </c>
      <c r="K20" s="39">
        <v>10.0</v>
      </c>
      <c r="L20" s="39">
        <v>14.0</v>
      </c>
      <c r="M20" s="40">
        <v>8.0</v>
      </c>
      <c r="N20" s="40">
        <v>9.0</v>
      </c>
      <c r="O20" s="40">
        <v>9.0</v>
      </c>
      <c r="P20" s="41">
        <v>5.0</v>
      </c>
      <c r="Q20" s="39">
        <v>20.0</v>
      </c>
      <c r="R20" s="39">
        <v>28.0</v>
      </c>
      <c r="S20" s="39">
        <v>29.0</v>
      </c>
      <c r="T20" s="41">
        <v>7.0</v>
      </c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</row>
    <row r="21">
      <c r="A21" s="39">
        <v>17.0</v>
      </c>
      <c r="B21" s="48" t="s">
        <v>264</v>
      </c>
      <c r="C21" s="48" t="s">
        <v>265</v>
      </c>
      <c r="D21" s="48">
        <v>900850.0</v>
      </c>
      <c r="E21" s="41">
        <v>7.0</v>
      </c>
      <c r="F21" s="41">
        <v>17.0</v>
      </c>
      <c r="G21" s="41">
        <v>17.0</v>
      </c>
      <c r="H21" s="41">
        <v>17.0</v>
      </c>
      <c r="I21" s="41"/>
      <c r="J21" s="39">
        <v>16.0</v>
      </c>
      <c r="K21" s="39">
        <v>16.0</v>
      </c>
      <c r="L21" s="39">
        <v>14.0</v>
      </c>
      <c r="M21" s="40">
        <v>15.0</v>
      </c>
      <c r="N21" s="40">
        <v>11.0</v>
      </c>
      <c r="O21" s="40">
        <v>7.0</v>
      </c>
      <c r="P21" s="40">
        <v>15.0</v>
      </c>
      <c r="Q21" s="39">
        <v>33.0</v>
      </c>
      <c r="R21" s="39">
        <v>30.0</v>
      </c>
      <c r="S21" s="39">
        <v>24.0</v>
      </c>
      <c r="T21" s="39">
        <v>29.0</v>
      </c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</row>
    <row r="22">
      <c r="A22" s="39">
        <v>18.0</v>
      </c>
      <c r="B22" s="48" t="s">
        <v>266</v>
      </c>
      <c r="C22" s="48" t="s">
        <v>265</v>
      </c>
      <c r="D22" s="48">
        <v>900849.0</v>
      </c>
      <c r="E22" s="41">
        <v>19.0</v>
      </c>
      <c r="F22" s="41">
        <v>19.0</v>
      </c>
      <c r="G22" s="41">
        <v>16.0</v>
      </c>
      <c r="H22" s="41">
        <v>18.0</v>
      </c>
      <c r="I22" s="41"/>
      <c r="J22" s="39">
        <v>13.0</v>
      </c>
      <c r="K22" s="39">
        <v>15.0</v>
      </c>
      <c r="L22" s="39">
        <v>18.0</v>
      </c>
      <c r="M22" s="40">
        <v>13.0</v>
      </c>
      <c r="N22" s="40">
        <v>9.0</v>
      </c>
      <c r="O22" s="40">
        <v>9.0</v>
      </c>
      <c r="P22" s="40">
        <v>10.0</v>
      </c>
      <c r="Q22" s="39">
        <v>38.0</v>
      </c>
      <c r="R22" s="39">
        <v>31.0</v>
      </c>
      <c r="S22" s="39">
        <v>21.0</v>
      </c>
      <c r="T22" s="39">
        <v>24.0</v>
      </c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</row>
    <row r="23">
      <c r="A23" s="39">
        <v>19.0</v>
      </c>
      <c r="B23" s="48" t="s">
        <v>267</v>
      </c>
      <c r="C23" s="48" t="s">
        <v>268</v>
      </c>
      <c r="D23" s="48">
        <v>900334.0</v>
      </c>
      <c r="E23" s="39">
        <v>19.0</v>
      </c>
      <c r="F23" s="39">
        <v>19.0</v>
      </c>
      <c r="G23" s="39">
        <v>19.0</v>
      </c>
      <c r="H23" s="39">
        <v>20.0</v>
      </c>
      <c r="I23" s="39"/>
      <c r="J23" s="39">
        <v>18.0</v>
      </c>
      <c r="K23" s="39">
        <v>13.0</v>
      </c>
      <c r="L23" s="39">
        <v>18.0</v>
      </c>
      <c r="M23" s="40">
        <v>15.0</v>
      </c>
      <c r="N23" s="40">
        <v>13.0</v>
      </c>
      <c r="O23" s="40">
        <v>13.0</v>
      </c>
      <c r="P23" s="40">
        <v>15.0</v>
      </c>
      <c r="Q23" s="41" t="s">
        <v>32</v>
      </c>
      <c r="R23" s="41" t="s">
        <v>32</v>
      </c>
      <c r="S23" s="41" t="s">
        <v>32</v>
      </c>
      <c r="T23" s="41" t="s">
        <v>32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</row>
    <row r="24">
      <c r="A24" s="39">
        <v>20.0</v>
      </c>
      <c r="B24" s="48" t="s">
        <v>269</v>
      </c>
      <c r="C24" s="48" t="s">
        <v>270</v>
      </c>
      <c r="D24" s="48">
        <v>900893.0</v>
      </c>
      <c r="E24" s="39" t="s">
        <v>32</v>
      </c>
      <c r="F24" s="39" t="s">
        <v>32</v>
      </c>
      <c r="G24" s="39" t="s">
        <v>32</v>
      </c>
      <c r="H24" s="39" t="s">
        <v>32</v>
      </c>
      <c r="I24" s="39">
        <v>7.0</v>
      </c>
      <c r="J24" s="39">
        <v>8.0</v>
      </c>
      <c r="K24" s="39">
        <v>7.0</v>
      </c>
      <c r="L24" s="39"/>
      <c r="M24" s="41">
        <v>5.0</v>
      </c>
      <c r="N24" s="41">
        <v>4.0</v>
      </c>
      <c r="O24" s="41">
        <v>5.0</v>
      </c>
      <c r="P24" s="116">
        <v>3.0</v>
      </c>
      <c r="Q24" s="39">
        <v>20.0</v>
      </c>
      <c r="R24" s="41">
        <v>16.0</v>
      </c>
      <c r="S24" s="39">
        <v>20.0</v>
      </c>
      <c r="T24" s="39">
        <v>20.0</v>
      </c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</row>
    <row r="25">
      <c r="A25" s="39">
        <v>21.0</v>
      </c>
      <c r="B25" s="39" t="s">
        <v>271</v>
      </c>
      <c r="C25" s="39"/>
      <c r="D25" s="117">
        <v>901079.0</v>
      </c>
      <c r="E25" s="80"/>
      <c r="F25" s="80"/>
      <c r="G25" s="80"/>
      <c r="H25" s="80"/>
      <c r="I25" s="39"/>
      <c r="J25" s="39"/>
      <c r="K25" s="39"/>
      <c r="L25" s="39"/>
      <c r="M25" s="40">
        <v>10.0</v>
      </c>
      <c r="N25" s="40">
        <v>11.0</v>
      </c>
      <c r="O25" s="40">
        <v>10.0</v>
      </c>
      <c r="P25" s="40">
        <v>8.0</v>
      </c>
      <c r="Q25" s="39">
        <v>22.0</v>
      </c>
      <c r="R25" s="39">
        <v>23.0</v>
      </c>
      <c r="S25" s="39">
        <v>22.0</v>
      </c>
      <c r="T25" s="39">
        <v>26.0</v>
      </c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</row>
    <row r="26">
      <c r="A26" s="39">
        <v>22.0</v>
      </c>
      <c r="B26" s="39" t="s">
        <v>272</v>
      </c>
      <c r="C26" s="39"/>
      <c r="D26" s="117">
        <v>901188.0</v>
      </c>
      <c r="E26" s="80"/>
      <c r="F26" s="80"/>
      <c r="G26" s="80"/>
      <c r="H26" s="80"/>
      <c r="I26" s="39"/>
      <c r="J26" s="39"/>
      <c r="K26" s="39"/>
      <c r="L26" s="39"/>
      <c r="M26" s="40">
        <v>15.0</v>
      </c>
      <c r="N26" s="40">
        <v>14.0</v>
      </c>
      <c r="O26" s="40">
        <v>15.0</v>
      </c>
      <c r="P26" s="40">
        <v>12.0</v>
      </c>
      <c r="Q26" s="39">
        <v>30.0</v>
      </c>
      <c r="R26" s="39">
        <v>36.0</v>
      </c>
      <c r="S26" s="39">
        <v>35.0</v>
      </c>
      <c r="T26" s="39">
        <v>27.0</v>
      </c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</row>
    <row r="27">
      <c r="A27" s="39">
        <v>23.0</v>
      </c>
      <c r="B27" s="39" t="s">
        <v>273</v>
      </c>
      <c r="C27" s="39"/>
      <c r="D27" s="117">
        <v>900648.0</v>
      </c>
      <c r="E27" s="80"/>
      <c r="F27" s="80"/>
      <c r="G27" s="80"/>
      <c r="H27" s="80"/>
      <c r="I27" s="39"/>
      <c r="J27" s="39"/>
      <c r="K27" s="39"/>
      <c r="L27" s="39"/>
      <c r="M27" s="40">
        <v>8.0</v>
      </c>
      <c r="N27" s="40">
        <v>9.0</v>
      </c>
      <c r="O27" s="40">
        <v>10.0</v>
      </c>
      <c r="P27" s="41">
        <v>5.0</v>
      </c>
      <c r="Q27" s="41">
        <v>12.0</v>
      </c>
      <c r="R27" s="41">
        <v>10.0</v>
      </c>
      <c r="S27" s="39">
        <v>30.0</v>
      </c>
      <c r="T27" s="41">
        <v>1.0</v>
      </c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</row>
    <row r="28">
      <c r="A28" s="39">
        <v>24.0</v>
      </c>
      <c r="B28" s="39" t="s">
        <v>274</v>
      </c>
      <c r="C28" s="39"/>
      <c r="D28" s="117">
        <v>901058.0</v>
      </c>
      <c r="E28" s="80"/>
      <c r="F28" s="80"/>
      <c r="G28" s="80"/>
      <c r="H28" s="80"/>
      <c r="I28" s="39"/>
      <c r="J28" s="39"/>
      <c r="K28" s="39"/>
      <c r="L28" s="39"/>
      <c r="M28" s="40">
        <v>15.0</v>
      </c>
      <c r="N28" s="40">
        <v>15.0</v>
      </c>
      <c r="O28" s="40">
        <v>15.0</v>
      </c>
      <c r="P28" s="40">
        <v>14.0</v>
      </c>
      <c r="Q28" s="39">
        <v>29.0</v>
      </c>
      <c r="R28" s="39">
        <v>34.0</v>
      </c>
      <c r="S28" s="39">
        <v>34.0</v>
      </c>
      <c r="T28" s="39">
        <v>31.0</v>
      </c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>
      <c r="A29" s="39">
        <v>25.0</v>
      </c>
      <c r="B29" s="39" t="s">
        <v>275</v>
      </c>
      <c r="C29" s="39"/>
      <c r="D29" s="117">
        <v>900678.0</v>
      </c>
      <c r="E29" s="74"/>
      <c r="F29" s="74"/>
      <c r="G29" s="74"/>
      <c r="H29" s="74"/>
      <c r="I29" s="45"/>
      <c r="J29" s="45"/>
      <c r="K29" s="45"/>
      <c r="L29" s="45"/>
      <c r="M29" s="43">
        <v>5.0</v>
      </c>
      <c r="N29" s="43">
        <v>4.0</v>
      </c>
      <c r="O29" s="43">
        <v>4.0</v>
      </c>
      <c r="P29" s="43">
        <v>4.0</v>
      </c>
      <c r="Q29" s="45">
        <v>20.0</v>
      </c>
      <c r="R29" s="43">
        <v>18.0</v>
      </c>
      <c r="S29" s="45">
        <v>38.0</v>
      </c>
      <c r="T29" s="45">
        <v>21.0</v>
      </c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</row>
    <row r="30">
      <c r="A30" s="39">
        <v>26.0</v>
      </c>
      <c r="B30" s="39" t="s">
        <v>276</v>
      </c>
      <c r="C30" s="39"/>
      <c r="D30" s="117">
        <v>901242.0</v>
      </c>
      <c r="E30" s="74"/>
      <c r="F30" s="74"/>
      <c r="G30" s="74"/>
      <c r="H30" s="74"/>
      <c r="I30" s="45"/>
      <c r="J30" s="45"/>
      <c r="K30" s="45"/>
      <c r="L30" s="45"/>
      <c r="M30" s="45">
        <v>8.0</v>
      </c>
      <c r="N30" s="43">
        <v>7.0</v>
      </c>
      <c r="O30" s="43">
        <v>6.0</v>
      </c>
      <c r="P30" s="43">
        <v>4.0</v>
      </c>
      <c r="Q30" s="45">
        <v>30.0</v>
      </c>
      <c r="R30" s="43">
        <v>13.0</v>
      </c>
      <c r="S30" s="45">
        <v>26.0</v>
      </c>
      <c r="T30" s="43">
        <v>3.0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</row>
    <row r="31">
      <c r="A31" s="39">
        <v>27.0</v>
      </c>
      <c r="B31" s="39" t="s">
        <v>277</v>
      </c>
      <c r="C31" s="39"/>
      <c r="D31" s="117">
        <v>1000604.0</v>
      </c>
      <c r="E31" s="74"/>
      <c r="F31" s="74"/>
      <c r="G31" s="74"/>
      <c r="H31" s="74"/>
      <c r="I31" s="45"/>
      <c r="J31" s="45"/>
      <c r="K31" s="45"/>
      <c r="L31" s="45"/>
      <c r="M31" s="45">
        <v>10.0</v>
      </c>
      <c r="N31" s="45">
        <v>10.0</v>
      </c>
      <c r="O31" s="45">
        <v>10.0</v>
      </c>
      <c r="P31" s="45">
        <v>10.0</v>
      </c>
      <c r="Q31" s="43">
        <v>13.0</v>
      </c>
      <c r="R31" s="45">
        <v>24.0</v>
      </c>
      <c r="S31" s="45">
        <v>22.0</v>
      </c>
      <c r="T31" s="45">
        <v>24.0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</row>
    <row r="32">
      <c r="A32" s="39">
        <v>28.0</v>
      </c>
      <c r="B32" s="39" t="s">
        <v>278</v>
      </c>
      <c r="C32" s="39"/>
      <c r="D32" s="117">
        <v>900947.0</v>
      </c>
      <c r="E32" s="74"/>
      <c r="F32" s="74"/>
      <c r="G32" s="74"/>
      <c r="H32" s="74"/>
      <c r="I32" s="45"/>
      <c r="J32" s="45"/>
      <c r="K32" s="45"/>
      <c r="L32" s="45"/>
      <c r="M32" s="45">
        <v>10.0</v>
      </c>
      <c r="N32" s="45">
        <v>12.0</v>
      </c>
      <c r="O32" s="45">
        <v>12.0</v>
      </c>
      <c r="P32" s="45">
        <v>10.0</v>
      </c>
      <c r="Q32" s="45">
        <v>33.0</v>
      </c>
      <c r="R32" s="45">
        <v>26.0</v>
      </c>
      <c r="S32" s="45">
        <v>29.0</v>
      </c>
      <c r="T32" s="45">
        <v>20.0</v>
      </c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</row>
    <row r="33">
      <c r="A33" s="39">
        <v>29.0</v>
      </c>
      <c r="B33" s="39" t="s">
        <v>279</v>
      </c>
      <c r="C33" s="39"/>
      <c r="D33" s="117">
        <v>901213.0</v>
      </c>
      <c r="E33" s="74"/>
      <c r="F33" s="74"/>
      <c r="G33" s="74"/>
      <c r="H33" s="74"/>
      <c r="I33" s="45"/>
      <c r="J33" s="45"/>
      <c r="K33" s="45"/>
      <c r="L33" s="45"/>
      <c r="M33" s="45">
        <v>10.0</v>
      </c>
      <c r="N33" s="45">
        <v>12.0</v>
      </c>
      <c r="O33" s="45">
        <v>10.0</v>
      </c>
      <c r="P33" s="45">
        <v>10.0</v>
      </c>
      <c r="Q33" s="45">
        <v>30.0</v>
      </c>
      <c r="R33" s="45">
        <v>35.0</v>
      </c>
      <c r="S33" s="45">
        <v>32.0</v>
      </c>
      <c r="T33" s="45">
        <v>22.0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</row>
    <row r="34">
      <c r="A34" s="39">
        <v>30.0</v>
      </c>
      <c r="B34" s="39" t="s">
        <v>280</v>
      </c>
      <c r="C34" s="39"/>
      <c r="D34" s="117">
        <v>901270.0</v>
      </c>
      <c r="E34" s="74"/>
      <c r="F34" s="74"/>
      <c r="G34" s="74"/>
      <c r="H34" s="74"/>
      <c r="I34" s="45"/>
      <c r="J34" s="45"/>
      <c r="K34" s="45"/>
      <c r="L34" s="45"/>
      <c r="M34" s="45" t="s">
        <v>127</v>
      </c>
      <c r="N34" s="45" t="s">
        <v>127</v>
      </c>
      <c r="O34" s="45" t="s">
        <v>127</v>
      </c>
      <c r="P34" s="45" t="s">
        <v>127</v>
      </c>
      <c r="Q34" s="43">
        <v>8.0</v>
      </c>
      <c r="R34" s="45">
        <v>27.0</v>
      </c>
      <c r="S34" s="43">
        <v>7.0</v>
      </c>
      <c r="T34" s="43" t="s">
        <v>32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</row>
    <row r="35">
      <c r="A35" s="39"/>
      <c r="B35" s="39"/>
      <c r="C35" s="39"/>
      <c r="D35" s="86"/>
      <c r="E35" s="73"/>
      <c r="F35" s="73"/>
      <c r="G35" s="73"/>
      <c r="H35" s="73"/>
      <c r="I35" s="118"/>
      <c r="J35" s="118"/>
      <c r="K35" s="118"/>
      <c r="L35" s="118"/>
      <c r="M35" s="65"/>
      <c r="N35" s="65"/>
      <c r="O35" s="65"/>
      <c r="P35" s="65"/>
      <c r="Q35" s="65"/>
      <c r="R35" s="65"/>
      <c r="S35" s="65"/>
      <c r="T35" s="65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</row>
    <row r="36">
      <c r="A36" s="39"/>
      <c r="B36" s="39"/>
      <c r="C36" s="39"/>
      <c r="D36" s="86" t="s">
        <v>85</v>
      </c>
      <c r="E36" s="73">
        <f t="shared" ref="E36:H36" si="1">SUM(E5:E18)</f>
        <v>177</v>
      </c>
      <c r="F36" s="73">
        <f t="shared" si="1"/>
        <v>179</v>
      </c>
      <c r="G36" s="73">
        <f t="shared" si="1"/>
        <v>159</v>
      </c>
      <c r="H36" s="73">
        <f t="shared" si="1"/>
        <v>140</v>
      </c>
      <c r="I36" s="118">
        <f t="shared" ref="I36:L36" si="2">sum(I5:I19)</f>
        <v>195</v>
      </c>
      <c r="J36" s="118">
        <f t="shared" si="2"/>
        <v>185</v>
      </c>
      <c r="K36" s="118">
        <f t="shared" si="2"/>
        <v>141</v>
      </c>
      <c r="L36" s="118">
        <f t="shared" si="2"/>
        <v>124</v>
      </c>
      <c r="M36" s="65">
        <f t="shared" ref="M36:T36" si="3">sum(M5:M34)</f>
        <v>303</v>
      </c>
      <c r="N36" s="65">
        <f t="shared" si="3"/>
        <v>296</v>
      </c>
      <c r="O36" s="65">
        <f t="shared" si="3"/>
        <v>265</v>
      </c>
      <c r="P36" s="65">
        <f t="shared" si="3"/>
        <v>291</v>
      </c>
      <c r="Q36" s="65">
        <f t="shared" si="3"/>
        <v>775</v>
      </c>
      <c r="R36" s="65">
        <f t="shared" si="3"/>
        <v>817</v>
      </c>
      <c r="S36" s="65">
        <f t="shared" si="3"/>
        <v>843</v>
      </c>
      <c r="T36" s="65">
        <f t="shared" si="3"/>
        <v>682</v>
      </c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</row>
    <row r="37">
      <c r="A37" s="39"/>
      <c r="B37" s="39"/>
      <c r="C37" s="39"/>
      <c r="D37" s="86" t="s">
        <v>86</v>
      </c>
      <c r="E37" s="119">
        <f t="shared" ref="E37:T37" si="4">E36/E41</f>
        <v>9.833333333</v>
      </c>
      <c r="F37" s="119">
        <f t="shared" si="4"/>
        <v>9.944444444</v>
      </c>
      <c r="G37" s="119">
        <f t="shared" si="4"/>
        <v>8.833333333</v>
      </c>
      <c r="H37" s="119">
        <f t="shared" si="4"/>
        <v>7.777777778</v>
      </c>
      <c r="I37" s="120">
        <f t="shared" si="4"/>
        <v>10.26315789</v>
      </c>
      <c r="J37" s="120">
        <f t="shared" si="4"/>
        <v>10.27777778</v>
      </c>
      <c r="K37" s="120">
        <f t="shared" si="4"/>
        <v>7.421052632</v>
      </c>
      <c r="L37" s="120">
        <f t="shared" si="4"/>
        <v>6.888888889</v>
      </c>
      <c r="M37" s="121">
        <f t="shared" si="4"/>
        <v>10.44827586</v>
      </c>
      <c r="N37" s="121">
        <f t="shared" si="4"/>
        <v>10.20689655</v>
      </c>
      <c r="O37" s="121">
        <f t="shared" si="4"/>
        <v>9.137931034</v>
      </c>
      <c r="P37" s="121">
        <f t="shared" si="4"/>
        <v>10.03448276</v>
      </c>
      <c r="Q37" s="121">
        <f t="shared" si="4"/>
        <v>26.72413793</v>
      </c>
      <c r="R37" s="121">
        <f t="shared" si="4"/>
        <v>28.17241379</v>
      </c>
      <c r="S37" s="121">
        <f t="shared" si="4"/>
        <v>29.06896552</v>
      </c>
      <c r="T37" s="121">
        <f t="shared" si="4"/>
        <v>24.35714286</v>
      </c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</row>
    <row r="38">
      <c r="A38" s="39"/>
      <c r="B38" s="39"/>
      <c r="C38" s="39"/>
      <c r="D38" s="86" t="s">
        <v>87</v>
      </c>
      <c r="E38" s="118">
        <v>21.0</v>
      </c>
      <c r="F38" s="118">
        <v>21.0</v>
      </c>
      <c r="G38" s="118">
        <v>21.0</v>
      </c>
      <c r="H38" s="118">
        <v>21.0</v>
      </c>
      <c r="I38" s="118">
        <v>19.0</v>
      </c>
      <c r="J38" s="118">
        <v>19.0</v>
      </c>
      <c r="K38" s="118">
        <v>19.0</v>
      </c>
      <c r="L38" s="118">
        <v>19.0</v>
      </c>
      <c r="M38" s="65">
        <v>30.0</v>
      </c>
      <c r="N38" s="65">
        <v>30.0</v>
      </c>
      <c r="O38" s="65">
        <v>30.0</v>
      </c>
      <c r="P38" s="65">
        <v>30.0</v>
      </c>
      <c r="Q38" s="65">
        <v>30.0</v>
      </c>
      <c r="R38" s="65">
        <v>30.0</v>
      </c>
      <c r="S38" s="65">
        <v>30.0</v>
      </c>
      <c r="T38" s="65">
        <v>30.0</v>
      </c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</row>
    <row r="39">
      <c r="A39" s="39"/>
      <c r="B39" s="48"/>
      <c r="C39" s="48"/>
      <c r="D39" s="86" t="s">
        <v>88</v>
      </c>
      <c r="E39" s="118">
        <v>17.0</v>
      </c>
      <c r="F39" s="118">
        <v>17.0</v>
      </c>
      <c r="G39" s="118">
        <v>16.0</v>
      </c>
      <c r="H39" s="118">
        <v>14.0</v>
      </c>
      <c r="I39" s="118">
        <v>18.0</v>
      </c>
      <c r="J39" s="118">
        <v>17.0</v>
      </c>
      <c r="K39" s="118">
        <v>14.0</v>
      </c>
      <c r="L39" s="118">
        <v>14.0</v>
      </c>
      <c r="M39" s="65">
        <v>26.0</v>
      </c>
      <c r="N39" s="65">
        <v>25.0</v>
      </c>
      <c r="O39" s="65">
        <v>23.0</v>
      </c>
      <c r="P39" s="65">
        <v>20.0</v>
      </c>
      <c r="Q39" s="65">
        <v>25.0</v>
      </c>
      <c r="R39" s="65">
        <v>24.0</v>
      </c>
      <c r="S39" s="65">
        <v>28.0</v>
      </c>
      <c r="T39" s="65">
        <v>23.0</v>
      </c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</row>
    <row r="40">
      <c r="A40" s="39"/>
      <c r="B40" s="34"/>
      <c r="C40" s="34"/>
      <c r="D40" s="86" t="s">
        <v>89</v>
      </c>
      <c r="E40" s="122">
        <v>1.0</v>
      </c>
      <c r="F40" s="122">
        <v>1.0</v>
      </c>
      <c r="G40" s="122">
        <v>2.0</v>
      </c>
      <c r="H40" s="122">
        <v>4.0</v>
      </c>
      <c r="I40" s="118">
        <v>1.0</v>
      </c>
      <c r="J40" s="118">
        <v>1.0</v>
      </c>
      <c r="K40" s="118">
        <v>5.0</v>
      </c>
      <c r="L40" s="118">
        <v>4.0</v>
      </c>
      <c r="M40" s="93">
        <v>3.0</v>
      </c>
      <c r="N40" s="93">
        <v>4.0</v>
      </c>
      <c r="O40" s="93">
        <v>6.0</v>
      </c>
      <c r="P40" s="93">
        <v>9.0</v>
      </c>
      <c r="Q40" s="94">
        <v>4.0</v>
      </c>
      <c r="R40" s="94">
        <v>5.0</v>
      </c>
      <c r="S40" s="94">
        <v>1.0</v>
      </c>
      <c r="T40" s="94">
        <v>5.0</v>
      </c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</row>
    <row r="41">
      <c r="A41" s="39"/>
      <c r="B41" s="34"/>
      <c r="C41" s="34"/>
      <c r="D41" s="86" t="s">
        <v>90</v>
      </c>
      <c r="E41" s="122">
        <v>18.0</v>
      </c>
      <c r="F41" s="122">
        <v>18.0</v>
      </c>
      <c r="G41" s="122">
        <v>18.0</v>
      </c>
      <c r="H41" s="122">
        <v>18.0</v>
      </c>
      <c r="I41" s="118">
        <v>19.0</v>
      </c>
      <c r="J41" s="118">
        <v>18.0</v>
      </c>
      <c r="K41" s="118">
        <v>19.0</v>
      </c>
      <c r="L41" s="118">
        <v>18.0</v>
      </c>
      <c r="M41" s="65">
        <v>29.0</v>
      </c>
      <c r="N41" s="65">
        <v>29.0</v>
      </c>
      <c r="O41" s="65">
        <v>29.0</v>
      </c>
      <c r="P41" s="65">
        <v>29.0</v>
      </c>
      <c r="Q41" s="65">
        <v>29.0</v>
      </c>
      <c r="R41" s="65">
        <v>29.0</v>
      </c>
      <c r="S41" s="65">
        <v>29.0</v>
      </c>
      <c r="T41" s="65">
        <v>28.0</v>
      </c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</row>
    <row r="42">
      <c r="A42" s="39"/>
      <c r="B42" s="34"/>
      <c r="C42" s="34"/>
      <c r="D42" s="34"/>
      <c r="I42" s="123"/>
      <c r="J42" s="123"/>
      <c r="K42" s="123"/>
      <c r="L42" s="124"/>
      <c r="Q42" s="39"/>
      <c r="R42" s="39"/>
      <c r="S42" s="39"/>
      <c r="T42" s="39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>
      <c r="A43" s="39"/>
      <c r="B43" s="34"/>
      <c r="C43" s="34"/>
      <c r="D43" s="34"/>
      <c r="I43" s="123"/>
      <c r="J43" s="123"/>
      <c r="K43" s="123"/>
      <c r="L43" s="124"/>
      <c r="Q43" s="39"/>
      <c r="R43" s="39"/>
      <c r="S43" s="39"/>
      <c r="T43" s="39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</row>
    <row r="44">
      <c r="A44" s="39"/>
      <c r="B44" s="34"/>
      <c r="C44" s="34"/>
      <c r="D44" s="34"/>
      <c r="I44" s="123"/>
      <c r="J44" s="123"/>
      <c r="K44" s="123"/>
      <c r="L44" s="124"/>
      <c r="Q44" s="39"/>
      <c r="R44" s="39"/>
      <c r="S44" s="39"/>
      <c r="T44" s="39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</row>
    <row r="46"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</row>
    <row r="47"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</row>
    <row r="48">
      <c r="A48" s="81"/>
      <c r="B48" s="95"/>
      <c r="C48" s="96"/>
      <c r="D48" s="96"/>
      <c r="E48" s="96"/>
      <c r="F48" s="96"/>
      <c r="G48" s="96"/>
      <c r="H48" s="96"/>
      <c r="I48" s="125"/>
      <c r="J48" s="125"/>
      <c r="K48" s="125"/>
      <c r="L48" s="125"/>
      <c r="M48" s="126"/>
      <c r="N48" s="126"/>
      <c r="O48" s="126"/>
      <c r="P48" s="126"/>
      <c r="Q48" s="127"/>
      <c r="R48" s="128"/>
      <c r="S48" s="127"/>
      <c r="T48" s="129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81"/>
    </row>
    <row r="49">
      <c r="A49" s="81"/>
      <c r="B49" s="98"/>
      <c r="C49" s="66"/>
      <c r="D49" s="66"/>
      <c r="E49" s="66"/>
      <c r="F49" s="66"/>
      <c r="G49" s="66"/>
      <c r="H49" s="66"/>
      <c r="I49" s="130"/>
      <c r="J49" s="130"/>
      <c r="K49" s="130"/>
      <c r="L49" s="130"/>
      <c r="M49" s="127"/>
      <c r="N49" s="127"/>
      <c r="O49" s="127"/>
      <c r="P49" s="127"/>
      <c r="Q49" s="131"/>
      <c r="R49" s="131"/>
      <c r="S49" s="131"/>
      <c r="T49" s="131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81"/>
    </row>
    <row r="50">
      <c r="B50" s="98"/>
      <c r="C50" s="66"/>
      <c r="D50" s="66"/>
      <c r="E50" s="66"/>
      <c r="F50" s="66"/>
      <c r="G50" s="66"/>
      <c r="H50" s="66"/>
      <c r="I50" s="132"/>
      <c r="J50" s="132"/>
      <c r="K50" s="133"/>
      <c r="L50" s="133"/>
      <c r="M50" s="134"/>
      <c r="N50" s="134"/>
      <c r="O50" s="134"/>
      <c r="P50" s="135"/>
      <c r="Q50" s="127"/>
      <c r="R50" s="127"/>
      <c r="S50" s="127"/>
      <c r="T50" s="136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</row>
    <row r="51">
      <c r="B51" s="77"/>
      <c r="C51" s="66"/>
      <c r="D51" s="66"/>
      <c r="E51" s="66"/>
      <c r="F51" s="66"/>
      <c r="G51" s="66"/>
      <c r="H51" s="66"/>
      <c r="I51" s="130"/>
      <c r="J51" s="130"/>
      <c r="K51" s="137"/>
      <c r="L51" s="137"/>
      <c r="M51" s="127"/>
      <c r="N51" s="127"/>
      <c r="O51" s="138"/>
      <c r="P51" s="138"/>
      <c r="Q51" s="139"/>
      <c r="R51" s="139"/>
      <c r="S51" s="139"/>
      <c r="T51" s="139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</row>
    <row r="52">
      <c r="B52" s="77"/>
      <c r="C52" s="66"/>
      <c r="D52" s="66"/>
      <c r="E52" s="66"/>
      <c r="F52" s="66"/>
      <c r="G52" s="66"/>
      <c r="H52" s="66"/>
      <c r="I52" s="130"/>
      <c r="J52" s="130"/>
      <c r="K52" s="137"/>
      <c r="L52" s="137"/>
      <c r="M52" s="127"/>
      <c r="N52" s="127"/>
      <c r="O52" s="138"/>
      <c r="P52" s="138"/>
      <c r="Q52" s="139"/>
      <c r="R52" s="139"/>
      <c r="S52" s="139"/>
      <c r="T52" s="139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</row>
    <row r="53">
      <c r="B53" s="77"/>
      <c r="C53" s="66"/>
      <c r="D53" s="66"/>
      <c r="E53" s="66"/>
      <c r="F53" s="66"/>
      <c r="G53" s="66"/>
      <c r="H53" s="66"/>
      <c r="I53" s="130"/>
      <c r="J53" s="130"/>
      <c r="K53" s="137"/>
      <c r="L53" s="137"/>
      <c r="M53" s="127"/>
      <c r="N53" s="127"/>
      <c r="O53" s="138"/>
      <c r="P53" s="138"/>
      <c r="Q53" s="139"/>
      <c r="R53" s="139"/>
      <c r="S53" s="139"/>
      <c r="T53" s="139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>
      <c r="B54" s="77"/>
      <c r="C54" s="66"/>
      <c r="D54" s="66"/>
      <c r="E54" s="66"/>
      <c r="F54" s="66"/>
      <c r="G54" s="66"/>
      <c r="H54" s="66"/>
      <c r="I54" s="130"/>
      <c r="J54" s="130"/>
      <c r="K54" s="137"/>
      <c r="L54" s="137"/>
      <c r="M54" s="127"/>
      <c r="N54" s="127"/>
      <c r="O54" s="127"/>
      <c r="P54" s="127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</row>
    <row r="55">
      <c r="B55" s="66"/>
      <c r="C55" s="66"/>
      <c r="D55" s="66"/>
      <c r="E55" s="66"/>
      <c r="F55" s="66"/>
      <c r="G55" s="66"/>
      <c r="H55" s="66"/>
      <c r="I55" s="66"/>
      <c r="J55" s="66"/>
      <c r="K55" s="80"/>
      <c r="L55" s="80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</row>
    <row r="56">
      <c r="B56" s="81"/>
      <c r="C56" s="81"/>
      <c r="D56" s="81"/>
      <c r="E56" s="81"/>
      <c r="F56" s="81"/>
      <c r="G56" s="81"/>
      <c r="H56" s="81"/>
      <c r="I56" s="81"/>
      <c r="J56" s="81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</row>
    <row r="57"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</row>
    <row r="59"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</row>
    <row r="62"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</row>
    <row r="66"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</row>
    <row r="67"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</row>
    <row r="68"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</row>
    <row r="69"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</row>
    <row r="70"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</row>
    <row r="71"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</row>
    <row r="72"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</row>
    <row r="73"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</row>
    <row r="74"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</row>
    <row r="75"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</row>
    <row r="76"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</row>
    <row r="77"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</row>
    <row r="78"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</row>
    <row r="79"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</row>
    <row r="80"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</row>
    <row r="81"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</row>
    <row r="82"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</row>
    <row r="83"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</row>
    <row r="84"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</row>
    <row r="85"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</row>
    <row r="86"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</row>
    <row r="87"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</row>
    <row r="88"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</row>
    <row r="89"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</row>
    <row r="90"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</row>
    <row r="91"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</row>
    <row r="92"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</row>
    <row r="93"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</row>
    <row r="94"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</row>
    <row r="95"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</row>
    <row r="96"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</row>
    <row r="97"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</row>
    <row r="98"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</row>
    <row r="99"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</row>
    <row r="100"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</row>
    <row r="101"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</row>
    <row r="102"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</row>
    <row r="103"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</row>
    <row r="104"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</row>
    <row r="105"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</row>
    <row r="106"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</row>
    <row r="107"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</row>
    <row r="108"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</row>
    <row r="109"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</row>
    <row r="110"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</row>
    <row r="111"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</row>
    <row r="112"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</row>
    <row r="113"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</row>
    <row r="114"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</row>
    <row r="115"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</row>
    <row r="116"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</row>
    <row r="117"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</row>
    <row r="118"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</row>
    <row r="119"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</row>
    <row r="120"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</row>
    <row r="121"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</row>
    <row r="122"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</row>
    <row r="123"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</row>
    <row r="124"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</row>
    <row r="125"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</row>
    <row r="126"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</row>
    <row r="127"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</row>
    <row r="128"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</row>
    <row r="129"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</row>
    <row r="130"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</row>
    <row r="131"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</row>
    <row r="132"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</row>
    <row r="133"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</row>
    <row r="134"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</row>
    <row r="135"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</row>
    <row r="136"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</row>
    <row r="137"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</row>
    <row r="138"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</row>
    <row r="139"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</row>
    <row r="140"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</row>
    <row r="141"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</row>
    <row r="142"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</row>
    <row r="143"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</row>
    <row r="144"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</row>
    <row r="145"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</row>
    <row r="146"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</row>
    <row r="147"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</row>
    <row r="148"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</row>
    <row r="149"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</row>
    <row r="150"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</row>
    <row r="151"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</row>
    <row r="152"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</row>
    <row r="153"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</row>
    <row r="154"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</row>
    <row r="155"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</row>
    <row r="156"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</row>
    <row r="157"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</row>
    <row r="158"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</row>
    <row r="159"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</row>
    <row r="160"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</row>
    <row r="161"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</row>
    <row r="162"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</row>
    <row r="163"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</row>
    <row r="164"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</row>
    <row r="165"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</row>
    <row r="166"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</row>
    <row r="167"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</row>
    <row r="168"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</row>
    <row r="169"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</row>
    <row r="170"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</row>
    <row r="171"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</row>
    <row r="172"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</row>
    <row r="173"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</row>
    <row r="174"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</row>
    <row r="175"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</row>
    <row r="176"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</row>
    <row r="177"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</row>
    <row r="178"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</row>
    <row r="179"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</row>
    <row r="180"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</row>
    <row r="181"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</row>
    <row r="182"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</row>
    <row r="183"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</row>
    <row r="184"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</row>
    <row r="185"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</row>
    <row r="186"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</row>
    <row r="187"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</row>
    <row r="188"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</row>
    <row r="189"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</row>
    <row r="190"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</row>
    <row r="191"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</row>
    <row r="192"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</row>
    <row r="193"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</row>
    <row r="194"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</row>
    <row r="195"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</row>
    <row r="196"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</row>
    <row r="197"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</row>
    <row r="198"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</row>
    <row r="199"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</row>
    <row r="200"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</row>
    <row r="201"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</row>
    <row r="202"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</row>
    <row r="203"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</row>
    <row r="204"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</row>
    <row r="205"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</row>
    <row r="206"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</row>
    <row r="207"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</row>
    <row r="208"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</row>
    <row r="209"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</row>
    <row r="210"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</row>
    <row r="211"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</row>
    <row r="212"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</row>
    <row r="213"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</row>
    <row r="214"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</row>
    <row r="215"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</row>
    <row r="216"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</row>
    <row r="217"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</row>
    <row r="218"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</row>
    <row r="219"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</row>
    <row r="220"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</row>
    <row r="221"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</row>
    <row r="222"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</row>
    <row r="223"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</row>
    <row r="224"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</row>
    <row r="225"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</row>
    <row r="226"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</row>
    <row r="227"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</row>
    <row r="228"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</row>
    <row r="229"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</row>
    <row r="230"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</row>
    <row r="231"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</row>
    <row r="232"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</row>
    <row r="233"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</row>
    <row r="234"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</row>
    <row r="235"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</row>
    <row r="236"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</row>
    <row r="237"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</row>
    <row r="238"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</row>
    <row r="239"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</row>
    <row r="240"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</row>
    <row r="241"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</row>
    <row r="242"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</row>
    <row r="243"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</row>
    <row r="244"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</row>
    <row r="245"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</row>
    <row r="246"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  <row r="247"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</row>
    <row r="248"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</row>
    <row r="249"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</row>
    <row r="250"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</row>
    <row r="251"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</row>
    <row r="252"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</row>
    <row r="253"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</row>
    <row r="254"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</row>
    <row r="255"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</row>
    <row r="256"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</row>
    <row r="257"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</row>
    <row r="258"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</row>
    <row r="259"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</row>
    <row r="260"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</row>
    <row r="261"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</row>
    <row r="262"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</row>
    <row r="263"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</row>
    <row r="264"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</row>
    <row r="265"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</row>
    <row r="266"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</row>
    <row r="267"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</row>
    <row r="268"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</row>
    <row r="269"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</row>
    <row r="270"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</row>
    <row r="271"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</row>
    <row r="272"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</row>
    <row r="273"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</row>
    <row r="274"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</row>
    <row r="275"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</row>
    <row r="276"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</row>
    <row r="277"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</row>
    <row r="278"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</row>
    <row r="279"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</row>
    <row r="280"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</row>
    <row r="281"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</row>
    <row r="282"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</row>
    <row r="283"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</row>
    <row r="284"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</row>
    <row r="285"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</row>
    <row r="286"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</row>
    <row r="287"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</row>
    <row r="288"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</row>
    <row r="289"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</row>
    <row r="290"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</row>
    <row r="291"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</row>
    <row r="292"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</row>
    <row r="293"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</row>
    <row r="294"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</row>
    <row r="295"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</row>
    <row r="296"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</row>
    <row r="297"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</row>
    <row r="298"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</row>
    <row r="299"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</row>
    <row r="300"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</row>
    <row r="301"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</row>
    <row r="302"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</row>
    <row r="303"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</row>
    <row r="304"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</row>
    <row r="305"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</row>
    <row r="306"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</row>
    <row r="307"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</row>
    <row r="308"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</row>
    <row r="309"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</row>
    <row r="310"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</row>
    <row r="311"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</row>
    <row r="312"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</row>
    <row r="313"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</row>
    <row r="314"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</row>
    <row r="315"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</row>
    <row r="316"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</row>
    <row r="317"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</row>
    <row r="318"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</row>
    <row r="319"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</row>
    <row r="320"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</row>
    <row r="321"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</row>
    <row r="322"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</row>
    <row r="323"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</row>
    <row r="324"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</row>
    <row r="325"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</row>
    <row r="326"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</row>
    <row r="327"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</row>
    <row r="328"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</row>
    <row r="329"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</row>
    <row r="330"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</row>
    <row r="331"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</row>
    <row r="332"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</row>
    <row r="333"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</row>
    <row r="334"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</row>
    <row r="335"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</row>
    <row r="336"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</row>
    <row r="337"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</row>
    <row r="338"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</row>
    <row r="339"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</row>
    <row r="340"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</row>
    <row r="341"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</row>
    <row r="342"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</row>
    <row r="343"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</row>
    <row r="344"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</row>
    <row r="345"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</row>
    <row r="346"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</row>
    <row r="347"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</row>
    <row r="348"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</row>
    <row r="349"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</row>
    <row r="350"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</row>
    <row r="351"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</row>
    <row r="352"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</row>
    <row r="353"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</row>
    <row r="354"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</row>
    <row r="355"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</row>
    <row r="356"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</row>
    <row r="357"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</row>
    <row r="358"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</row>
    <row r="359"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</row>
    <row r="360"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</row>
    <row r="361"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</row>
    <row r="362"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</row>
    <row r="363"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</row>
    <row r="364"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</row>
    <row r="365"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</row>
    <row r="366"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</row>
    <row r="367"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</row>
    <row r="368"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</row>
    <row r="369"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</row>
    <row r="370"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</row>
    <row r="371"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</row>
    <row r="372"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</row>
    <row r="373"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</row>
    <row r="374"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</row>
    <row r="375"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</row>
    <row r="376"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</row>
    <row r="377"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</row>
    <row r="378"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</row>
    <row r="379"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</row>
    <row r="380"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</row>
    <row r="381"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</row>
    <row r="382"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</row>
    <row r="383"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</row>
    <row r="384"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</row>
    <row r="385"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</row>
    <row r="386"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</row>
    <row r="387"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</row>
    <row r="388"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</row>
    <row r="389"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</row>
    <row r="390"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</row>
    <row r="391"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</row>
    <row r="392"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</row>
    <row r="393"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</row>
    <row r="394"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</row>
    <row r="395"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</row>
    <row r="396"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</row>
    <row r="397"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</row>
    <row r="398"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</row>
    <row r="399"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</row>
    <row r="400"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</row>
    <row r="401"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</row>
    <row r="402"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</row>
    <row r="403"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</row>
    <row r="404"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</row>
    <row r="405"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</row>
    <row r="406"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</row>
    <row r="407"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</row>
    <row r="408"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</row>
    <row r="409"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</row>
    <row r="410"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</row>
    <row r="411"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</row>
    <row r="412"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</row>
    <row r="413"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</row>
  </sheetData>
  <mergeCells count="13">
    <mergeCell ref="E2:H2"/>
    <mergeCell ref="I2:L2"/>
    <mergeCell ref="M2:P2"/>
    <mergeCell ref="Q2:T2"/>
    <mergeCell ref="U2:Z2"/>
    <mergeCell ref="AA2:AF2"/>
    <mergeCell ref="A1:B2"/>
    <mergeCell ref="E1:H1"/>
    <mergeCell ref="I1:L1"/>
    <mergeCell ref="M1:P1"/>
    <mergeCell ref="Q1:T1"/>
    <mergeCell ref="U1:Z1"/>
    <mergeCell ref="AA1:AF1"/>
  </mergeCells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9.5"/>
    <col customWidth="1" min="2" max="2" width="15.63"/>
    <col customWidth="1" min="3" max="3" width="14.88"/>
    <col customWidth="1" min="4" max="4" width="12.75"/>
    <col customWidth="1" min="18" max="18" width="13.38"/>
    <col customWidth="1" min="19" max="19" width="14.88"/>
    <col customWidth="1" min="20" max="20" width="13.13"/>
    <col customWidth="1" min="21" max="29" width="25.13"/>
  </cols>
  <sheetData>
    <row r="1">
      <c r="A1" s="1" t="s">
        <v>91</v>
      </c>
      <c r="B1" s="2"/>
      <c r="C1" s="2"/>
      <c r="D1" s="3"/>
      <c r="E1" s="4">
        <v>45803.0</v>
      </c>
      <c r="F1" s="5"/>
      <c r="G1" s="5"/>
      <c r="H1" s="6"/>
      <c r="I1" s="4">
        <v>45870.0</v>
      </c>
      <c r="J1" s="5"/>
      <c r="K1" s="5"/>
      <c r="L1" s="6"/>
      <c r="M1" s="10">
        <v>45992.0</v>
      </c>
      <c r="N1" s="11"/>
      <c r="O1" s="11"/>
      <c r="P1" s="11"/>
      <c r="Q1" s="10">
        <v>46023.0</v>
      </c>
      <c r="R1" s="11"/>
      <c r="S1" s="11"/>
      <c r="T1" s="11"/>
      <c r="U1" s="140"/>
      <c r="V1" s="140"/>
      <c r="W1" s="140"/>
      <c r="X1" s="140"/>
      <c r="Y1" s="140"/>
      <c r="Z1" s="140"/>
      <c r="AA1" s="140"/>
      <c r="AB1" s="140"/>
      <c r="AC1" s="141"/>
      <c r="AD1" s="104"/>
    </row>
    <row r="2">
      <c r="A2" s="13"/>
      <c r="B2" s="14"/>
      <c r="C2" s="14"/>
      <c r="D2" s="15"/>
      <c r="E2" s="16" t="s">
        <v>1</v>
      </c>
      <c r="F2" s="17"/>
      <c r="G2" s="17"/>
      <c r="H2" s="18"/>
      <c r="I2" s="16" t="s">
        <v>1</v>
      </c>
      <c r="J2" s="17"/>
      <c r="K2" s="17"/>
      <c r="L2" s="18"/>
      <c r="M2" s="142" t="s">
        <v>1</v>
      </c>
      <c r="N2" s="21"/>
      <c r="O2" s="21"/>
      <c r="P2" s="22"/>
      <c r="Q2" s="143" t="s">
        <v>281</v>
      </c>
      <c r="R2" s="21"/>
      <c r="S2" s="21"/>
      <c r="T2" s="21"/>
      <c r="U2" s="20"/>
      <c r="V2" s="20"/>
      <c r="W2" s="20"/>
      <c r="X2" s="20"/>
      <c r="Y2" s="20"/>
      <c r="Z2" s="20"/>
      <c r="AA2" s="20"/>
      <c r="AB2" s="20"/>
      <c r="AC2" s="27"/>
      <c r="AD2" s="105"/>
    </row>
    <row r="3">
      <c r="A3" s="23" t="s">
        <v>2</v>
      </c>
      <c r="B3" s="24" t="s">
        <v>3</v>
      </c>
      <c r="C3" s="24" t="s">
        <v>4</v>
      </c>
      <c r="D3" s="24" t="s">
        <v>5</v>
      </c>
      <c r="E3" s="25" t="s">
        <v>282</v>
      </c>
      <c r="F3" s="25" t="s">
        <v>283</v>
      </c>
      <c r="G3" s="25" t="s">
        <v>284</v>
      </c>
      <c r="H3" s="25" t="s">
        <v>285</v>
      </c>
      <c r="I3" s="24" t="s">
        <v>9</v>
      </c>
      <c r="J3" s="24" t="s">
        <v>10</v>
      </c>
      <c r="K3" s="24" t="s">
        <v>11</v>
      </c>
      <c r="L3" s="24" t="s">
        <v>147</v>
      </c>
      <c r="M3" s="144" t="s">
        <v>286</v>
      </c>
      <c r="N3" s="145" t="s">
        <v>287</v>
      </c>
      <c r="O3" s="146" t="s">
        <v>288</v>
      </c>
      <c r="P3" s="146" t="s">
        <v>144</v>
      </c>
      <c r="Q3" s="147" t="s">
        <v>289</v>
      </c>
      <c r="R3" s="147" t="s">
        <v>290</v>
      </c>
      <c r="S3" s="147" t="s">
        <v>291</v>
      </c>
      <c r="T3" s="147" t="s">
        <v>292</v>
      </c>
      <c r="U3" s="28"/>
      <c r="V3" s="28"/>
      <c r="W3" s="28"/>
      <c r="X3" s="28"/>
      <c r="Y3" s="28"/>
      <c r="Z3" s="28"/>
      <c r="AA3" s="28"/>
      <c r="AB3" s="28"/>
      <c r="AC3" s="28"/>
      <c r="AD3" s="106"/>
    </row>
    <row r="4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108"/>
      <c r="M4" s="148"/>
      <c r="N4" s="149"/>
      <c r="O4" s="30"/>
      <c r="P4" s="32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109"/>
    </row>
    <row r="5">
      <c r="A5" s="39">
        <v>1.0</v>
      </c>
      <c r="B5" s="48" t="s">
        <v>293</v>
      </c>
      <c r="C5" s="48" t="s">
        <v>294</v>
      </c>
      <c r="D5" s="48">
        <v>900894.0</v>
      </c>
      <c r="E5" s="39">
        <v>20.0</v>
      </c>
      <c r="F5" s="39">
        <v>17.0</v>
      </c>
      <c r="G5" s="39">
        <v>19.0</v>
      </c>
      <c r="H5" s="39">
        <v>18.0</v>
      </c>
      <c r="I5" s="39">
        <v>7.0</v>
      </c>
      <c r="J5" s="39">
        <v>9.0</v>
      </c>
      <c r="K5" s="39">
        <v>8.0</v>
      </c>
      <c r="L5" s="39">
        <v>8.0</v>
      </c>
      <c r="M5" s="150">
        <v>14.0</v>
      </c>
      <c r="N5" s="151">
        <v>14.0</v>
      </c>
      <c r="O5" s="39">
        <v>14.0</v>
      </c>
      <c r="P5" s="152">
        <v>15.0</v>
      </c>
      <c r="Q5" s="39">
        <v>49.0</v>
      </c>
      <c r="R5" s="39">
        <v>44.0</v>
      </c>
      <c r="S5" s="39">
        <v>48.0</v>
      </c>
      <c r="T5" s="39">
        <v>42.0</v>
      </c>
      <c r="U5" s="42"/>
      <c r="V5" s="42"/>
      <c r="W5" s="42"/>
      <c r="X5" s="42"/>
      <c r="Y5" s="42"/>
      <c r="Z5" s="42"/>
      <c r="AA5" s="42"/>
      <c r="AB5" s="42"/>
      <c r="AC5" s="42"/>
    </row>
    <row r="6">
      <c r="A6" s="39">
        <v>2.0</v>
      </c>
      <c r="B6" s="48" t="s">
        <v>295</v>
      </c>
      <c r="C6" s="48" t="s">
        <v>296</v>
      </c>
      <c r="D6" s="48">
        <v>900734.0</v>
      </c>
      <c r="E6" s="39">
        <v>18.0</v>
      </c>
      <c r="F6" s="39">
        <v>18.0</v>
      </c>
      <c r="G6" s="39">
        <v>20.0</v>
      </c>
      <c r="H6" s="39">
        <v>19.0</v>
      </c>
      <c r="I6" s="39">
        <v>8.0</v>
      </c>
      <c r="J6" s="39">
        <v>9.0</v>
      </c>
      <c r="K6" s="39">
        <v>8.0</v>
      </c>
      <c r="L6" s="39">
        <v>9.0</v>
      </c>
      <c r="M6" s="153">
        <v>13.0</v>
      </c>
      <c r="N6" s="151">
        <v>12.0</v>
      </c>
      <c r="O6" s="39">
        <v>14.0</v>
      </c>
      <c r="P6" s="39">
        <v>15.0</v>
      </c>
      <c r="Q6" s="39">
        <v>45.0</v>
      </c>
      <c r="R6" s="39">
        <v>30.0</v>
      </c>
      <c r="S6" s="39">
        <v>44.0</v>
      </c>
      <c r="T6" s="39">
        <v>30.0</v>
      </c>
      <c r="U6" s="42"/>
      <c r="V6" s="42"/>
      <c r="W6" s="42"/>
      <c r="X6" s="42"/>
      <c r="Y6" s="42"/>
      <c r="Z6" s="42"/>
      <c r="AA6" s="42"/>
      <c r="AB6" s="42"/>
      <c r="AC6" s="42"/>
    </row>
    <row r="7">
      <c r="A7" s="39">
        <v>3.0</v>
      </c>
      <c r="B7" s="48" t="s">
        <v>297</v>
      </c>
      <c r="C7" s="48" t="s">
        <v>298</v>
      </c>
      <c r="D7" s="48">
        <v>900706.0</v>
      </c>
      <c r="E7" s="39">
        <v>19.0</v>
      </c>
      <c r="F7" s="39">
        <v>17.0</v>
      </c>
      <c r="G7" s="39">
        <v>17.0</v>
      </c>
      <c r="H7" s="39">
        <v>18.0</v>
      </c>
      <c r="I7" s="39">
        <v>7.0</v>
      </c>
      <c r="J7" s="39">
        <v>9.0</v>
      </c>
      <c r="K7" s="39">
        <v>10.0</v>
      </c>
      <c r="L7" s="39">
        <v>7.0</v>
      </c>
      <c r="M7" s="153">
        <v>13.0</v>
      </c>
      <c r="N7" s="151">
        <v>10.0</v>
      </c>
      <c r="O7" s="39">
        <v>14.0</v>
      </c>
      <c r="P7" s="39">
        <v>12.0</v>
      </c>
      <c r="Q7" s="39">
        <v>46.0</v>
      </c>
      <c r="R7" s="39">
        <v>46.0</v>
      </c>
      <c r="S7" s="39">
        <v>43.0</v>
      </c>
      <c r="T7" s="39">
        <v>38.0</v>
      </c>
      <c r="U7" s="42"/>
      <c r="V7" s="42"/>
      <c r="W7" s="42"/>
      <c r="X7" s="42"/>
      <c r="Y7" s="42"/>
      <c r="Z7" s="42"/>
      <c r="AA7" s="42"/>
      <c r="AB7" s="42"/>
      <c r="AC7" s="42"/>
    </row>
    <row r="8">
      <c r="A8" s="39">
        <v>4.0</v>
      </c>
      <c r="B8" s="48" t="s">
        <v>299</v>
      </c>
      <c r="C8" s="48" t="s">
        <v>300</v>
      </c>
      <c r="D8" s="48">
        <v>900473.0</v>
      </c>
      <c r="E8" s="41">
        <v>8.0</v>
      </c>
      <c r="F8" s="41">
        <v>16.0</v>
      </c>
      <c r="G8" s="41">
        <v>10.0</v>
      </c>
      <c r="H8" s="39">
        <v>15.0</v>
      </c>
      <c r="I8" s="39">
        <v>6.0</v>
      </c>
      <c r="J8" s="39">
        <v>7.0</v>
      </c>
      <c r="K8" s="39">
        <v>7.0</v>
      </c>
      <c r="L8" s="39">
        <v>5.0</v>
      </c>
      <c r="M8" s="154">
        <v>7.0</v>
      </c>
      <c r="N8" s="151">
        <v>15.0</v>
      </c>
      <c r="O8" s="39">
        <v>10.0</v>
      </c>
      <c r="P8" s="39">
        <v>14.0</v>
      </c>
      <c r="Q8" s="39">
        <v>45.0</v>
      </c>
      <c r="R8" s="39">
        <v>25.0</v>
      </c>
      <c r="S8" s="39">
        <v>26.0</v>
      </c>
      <c r="T8" s="39">
        <v>30.0</v>
      </c>
      <c r="U8" s="42"/>
      <c r="V8" s="42"/>
      <c r="W8" s="42"/>
      <c r="X8" s="42"/>
      <c r="Y8" s="42"/>
      <c r="Z8" s="42"/>
      <c r="AA8" s="42"/>
      <c r="AB8" s="42"/>
      <c r="AC8" s="42"/>
    </row>
    <row r="9">
      <c r="A9" s="39">
        <v>5.0</v>
      </c>
      <c r="B9" s="48" t="s">
        <v>301</v>
      </c>
      <c r="C9" s="48" t="s">
        <v>302</v>
      </c>
      <c r="D9" s="48">
        <v>900604.0</v>
      </c>
      <c r="E9" s="41">
        <v>13.0</v>
      </c>
      <c r="F9" s="41">
        <v>17.0</v>
      </c>
      <c r="G9" s="41">
        <v>17.0</v>
      </c>
      <c r="H9" s="39">
        <v>15.0</v>
      </c>
      <c r="I9" s="39">
        <v>6.0</v>
      </c>
      <c r="J9" s="39">
        <v>8.0</v>
      </c>
      <c r="K9" s="39">
        <v>7.0</v>
      </c>
      <c r="L9" s="39">
        <v>6.0</v>
      </c>
      <c r="M9" s="153">
        <v>9.0</v>
      </c>
      <c r="N9" s="151">
        <v>15.0</v>
      </c>
      <c r="O9" s="39">
        <v>13.0</v>
      </c>
      <c r="P9" s="39">
        <v>14.0</v>
      </c>
      <c r="Q9" s="41" t="s">
        <v>303</v>
      </c>
      <c r="R9" s="41" t="s">
        <v>303</v>
      </c>
      <c r="S9" s="41" t="s">
        <v>303</v>
      </c>
      <c r="T9" s="41" t="s">
        <v>303</v>
      </c>
      <c r="U9" s="42"/>
      <c r="V9" s="42"/>
      <c r="W9" s="42"/>
      <c r="X9" s="42"/>
      <c r="Y9" s="42"/>
      <c r="Z9" s="42"/>
      <c r="AA9" s="42"/>
      <c r="AB9" s="42"/>
      <c r="AC9" s="42"/>
    </row>
    <row r="10">
      <c r="A10" s="39">
        <v>6.0</v>
      </c>
      <c r="B10" s="48" t="s">
        <v>304</v>
      </c>
      <c r="C10" s="48" t="s">
        <v>59</v>
      </c>
      <c r="D10" s="48">
        <v>900412.0</v>
      </c>
      <c r="E10" s="41">
        <v>20.0</v>
      </c>
      <c r="F10" s="41">
        <v>20.0</v>
      </c>
      <c r="G10" s="41">
        <v>15.0</v>
      </c>
      <c r="H10" s="39">
        <v>19.0</v>
      </c>
      <c r="I10" s="39">
        <v>10.0</v>
      </c>
      <c r="J10" s="39">
        <v>10.0</v>
      </c>
      <c r="K10" s="39">
        <v>9.0</v>
      </c>
      <c r="L10" s="39">
        <v>10.0</v>
      </c>
      <c r="M10" s="153">
        <v>15.0</v>
      </c>
      <c r="N10" s="151">
        <v>15.0</v>
      </c>
      <c r="O10" s="39">
        <v>15.0</v>
      </c>
      <c r="P10" s="39">
        <v>15.0</v>
      </c>
      <c r="Q10" s="39">
        <v>50.0</v>
      </c>
      <c r="R10" s="39">
        <v>45.0</v>
      </c>
      <c r="S10" s="39">
        <v>34.0</v>
      </c>
      <c r="T10" s="39">
        <v>48.0</v>
      </c>
      <c r="U10" s="42"/>
      <c r="V10" s="42"/>
      <c r="W10" s="42"/>
      <c r="X10" s="42"/>
      <c r="Y10" s="42"/>
      <c r="Z10" s="42"/>
      <c r="AA10" s="42"/>
      <c r="AB10" s="42"/>
      <c r="AC10" s="42"/>
    </row>
    <row r="11">
      <c r="A11" s="39">
        <v>7.0</v>
      </c>
      <c r="B11" s="48" t="s">
        <v>305</v>
      </c>
      <c r="C11" s="48" t="s">
        <v>306</v>
      </c>
      <c r="D11" s="48">
        <v>900760.0</v>
      </c>
      <c r="E11" s="41">
        <v>15.0</v>
      </c>
      <c r="F11" s="41">
        <v>12.0</v>
      </c>
      <c r="G11" s="41">
        <v>20.0</v>
      </c>
      <c r="H11" s="39">
        <v>20.0</v>
      </c>
      <c r="I11" s="39">
        <v>9.0</v>
      </c>
      <c r="J11" s="39">
        <v>8.0</v>
      </c>
      <c r="K11" s="39">
        <v>8.0</v>
      </c>
      <c r="L11" s="39">
        <v>9.0</v>
      </c>
      <c r="M11" s="153">
        <v>12.0</v>
      </c>
      <c r="N11" s="151">
        <v>15.0</v>
      </c>
      <c r="O11" s="39">
        <v>14.0</v>
      </c>
      <c r="P11" s="39">
        <v>13.0</v>
      </c>
      <c r="Q11" s="39">
        <v>49.0</v>
      </c>
      <c r="R11" s="39">
        <v>49.0</v>
      </c>
      <c r="S11" s="39">
        <v>49.0</v>
      </c>
      <c r="T11" s="39">
        <v>49.0</v>
      </c>
      <c r="U11" s="42"/>
      <c r="V11" s="42"/>
      <c r="W11" s="42"/>
      <c r="X11" s="42"/>
      <c r="Y11" s="42"/>
      <c r="Z11" s="42"/>
      <c r="AA11" s="42"/>
      <c r="AB11" s="42"/>
      <c r="AC11" s="42"/>
    </row>
    <row r="12">
      <c r="A12" s="39">
        <v>8.0</v>
      </c>
      <c r="B12" s="48" t="s">
        <v>307</v>
      </c>
      <c r="C12" s="48" t="s">
        <v>308</v>
      </c>
      <c r="D12" s="48">
        <v>900129.0</v>
      </c>
      <c r="E12" s="41">
        <v>20.0</v>
      </c>
      <c r="F12" s="41" t="s">
        <v>32</v>
      </c>
      <c r="G12" s="41" t="s">
        <v>32</v>
      </c>
      <c r="H12" s="39" t="s">
        <v>32</v>
      </c>
      <c r="I12" s="39">
        <v>9.0</v>
      </c>
      <c r="J12" s="39">
        <v>10.0</v>
      </c>
      <c r="K12" s="39">
        <v>8.0</v>
      </c>
      <c r="L12" s="39">
        <v>9.0</v>
      </c>
      <c r="M12" s="153">
        <v>15.0</v>
      </c>
      <c r="N12" s="151">
        <v>15.0</v>
      </c>
      <c r="O12" s="39">
        <v>15.0</v>
      </c>
      <c r="P12" s="39">
        <v>15.0</v>
      </c>
      <c r="Q12" s="39">
        <v>50.0</v>
      </c>
      <c r="R12" s="39">
        <v>49.0</v>
      </c>
      <c r="S12" s="39">
        <v>45.0</v>
      </c>
      <c r="T12" s="39">
        <v>49.0</v>
      </c>
      <c r="U12" s="42"/>
      <c r="V12" s="42"/>
      <c r="W12" s="42"/>
      <c r="X12" s="42"/>
      <c r="Y12" s="42"/>
      <c r="Z12" s="42"/>
      <c r="AA12" s="42"/>
      <c r="AB12" s="42"/>
      <c r="AC12" s="42"/>
    </row>
    <row r="13">
      <c r="A13" s="39">
        <v>9.0</v>
      </c>
      <c r="B13" s="48" t="s">
        <v>309</v>
      </c>
      <c r="C13" s="48" t="s">
        <v>310</v>
      </c>
      <c r="D13" s="48">
        <v>900410.0</v>
      </c>
      <c r="E13" s="39">
        <v>20.0</v>
      </c>
      <c r="F13" s="39">
        <v>19.0</v>
      </c>
      <c r="G13" s="39">
        <v>19.0</v>
      </c>
      <c r="H13" s="39">
        <v>17.0</v>
      </c>
      <c r="I13" s="39">
        <v>6.0</v>
      </c>
      <c r="J13" s="39">
        <v>10.0</v>
      </c>
      <c r="K13" s="39">
        <v>9.0</v>
      </c>
      <c r="L13" s="39">
        <v>8.0</v>
      </c>
      <c r="M13" s="153">
        <v>8.0</v>
      </c>
      <c r="N13" s="151">
        <v>15.0</v>
      </c>
      <c r="O13" s="39">
        <v>13.0</v>
      </c>
      <c r="P13" s="39">
        <v>14.0</v>
      </c>
      <c r="Q13" s="39">
        <v>47.0</v>
      </c>
      <c r="R13" s="39">
        <v>33.0</v>
      </c>
      <c r="S13" s="39">
        <v>48.0</v>
      </c>
      <c r="T13" s="39">
        <v>43.0</v>
      </c>
      <c r="U13" s="42"/>
      <c r="V13" s="42"/>
      <c r="W13" s="42"/>
      <c r="X13" s="42"/>
      <c r="Y13" s="42"/>
      <c r="Z13" s="42"/>
      <c r="AA13" s="42"/>
      <c r="AB13" s="42"/>
      <c r="AC13" s="42"/>
    </row>
    <row r="14">
      <c r="A14" s="39">
        <v>10.0</v>
      </c>
      <c r="B14" s="48" t="s">
        <v>311</v>
      </c>
      <c r="C14" s="48" t="s">
        <v>312</v>
      </c>
      <c r="D14" s="48">
        <v>900628.0</v>
      </c>
      <c r="E14" s="39">
        <v>20.0</v>
      </c>
      <c r="F14" s="39">
        <v>19.0</v>
      </c>
      <c r="G14" s="39">
        <v>17.0</v>
      </c>
      <c r="H14" s="39">
        <v>19.0</v>
      </c>
      <c r="I14" s="39">
        <v>8.0</v>
      </c>
      <c r="J14" s="39">
        <v>9.0</v>
      </c>
      <c r="K14" s="39">
        <v>10.0</v>
      </c>
      <c r="L14" s="39">
        <v>8.0</v>
      </c>
      <c r="M14" s="153">
        <v>14.0</v>
      </c>
      <c r="N14" s="151">
        <v>10.0</v>
      </c>
      <c r="O14" s="39">
        <v>12.0</v>
      </c>
      <c r="P14" s="39">
        <v>14.0</v>
      </c>
      <c r="Q14" s="39">
        <v>49.0</v>
      </c>
      <c r="R14" s="39">
        <v>41.0</v>
      </c>
      <c r="S14" s="39">
        <v>46.0</v>
      </c>
      <c r="T14" s="39">
        <v>43.0</v>
      </c>
      <c r="U14" s="42"/>
      <c r="V14" s="42"/>
      <c r="W14" s="42"/>
      <c r="X14" s="42"/>
      <c r="Y14" s="42"/>
      <c r="Z14" s="42"/>
      <c r="AA14" s="42"/>
      <c r="AB14" s="42"/>
      <c r="AC14" s="42"/>
    </row>
    <row r="15">
      <c r="A15" s="39">
        <v>11.0</v>
      </c>
      <c r="B15" s="39" t="s">
        <v>313</v>
      </c>
      <c r="C15" s="39" t="s">
        <v>314</v>
      </c>
      <c r="D15" s="39">
        <v>901028.0</v>
      </c>
      <c r="E15" s="39">
        <v>18.0</v>
      </c>
      <c r="F15" s="39">
        <v>15.0</v>
      </c>
      <c r="G15" s="39">
        <v>15.0</v>
      </c>
      <c r="H15" s="39">
        <v>17.0</v>
      </c>
      <c r="I15" s="39">
        <v>8.0</v>
      </c>
      <c r="J15" s="39">
        <v>8.0</v>
      </c>
      <c r="K15" s="39">
        <v>7.0</v>
      </c>
      <c r="L15" s="39">
        <v>6.0</v>
      </c>
      <c r="M15" s="153">
        <v>8.0</v>
      </c>
      <c r="N15" s="155">
        <v>7.0</v>
      </c>
      <c r="O15" s="39">
        <v>9.0</v>
      </c>
      <c r="P15" s="39">
        <v>8.0</v>
      </c>
      <c r="Q15" s="39">
        <v>37.0</v>
      </c>
      <c r="R15" s="39">
        <v>27.0</v>
      </c>
      <c r="S15" s="39">
        <v>26.0</v>
      </c>
      <c r="T15" s="39">
        <v>39.0</v>
      </c>
      <c r="U15" s="42"/>
      <c r="V15" s="42"/>
      <c r="W15" s="42"/>
      <c r="X15" s="42"/>
      <c r="Y15" s="42"/>
      <c r="Z15" s="42"/>
      <c r="AA15" s="42"/>
      <c r="AB15" s="42"/>
      <c r="AC15" s="42"/>
    </row>
    <row r="16">
      <c r="A16" s="39">
        <v>12.0</v>
      </c>
      <c r="B16" s="48" t="s">
        <v>315</v>
      </c>
      <c r="C16" s="48" t="s">
        <v>316</v>
      </c>
      <c r="D16" s="48">
        <v>900789.0</v>
      </c>
      <c r="E16" s="39">
        <v>17.0</v>
      </c>
      <c r="F16" s="39">
        <v>18.0</v>
      </c>
      <c r="G16" s="39">
        <v>20.0</v>
      </c>
      <c r="H16" s="39">
        <v>20.0</v>
      </c>
      <c r="I16" s="39">
        <v>9.0</v>
      </c>
      <c r="J16" s="39">
        <v>9.0</v>
      </c>
      <c r="K16" s="39">
        <v>6.0</v>
      </c>
      <c r="L16" s="39">
        <v>7.0</v>
      </c>
      <c r="M16" s="153">
        <v>11.0</v>
      </c>
      <c r="N16" s="151">
        <v>15.0</v>
      </c>
      <c r="O16" s="39">
        <v>13.0</v>
      </c>
      <c r="P16" s="39">
        <v>14.0</v>
      </c>
      <c r="Q16" s="39">
        <v>39.0</v>
      </c>
      <c r="R16" s="39">
        <v>46.0</v>
      </c>
      <c r="S16" s="39">
        <v>46.0</v>
      </c>
      <c r="T16" s="39">
        <v>49.0</v>
      </c>
      <c r="U16" s="42"/>
      <c r="V16" s="42"/>
      <c r="W16" s="42"/>
      <c r="X16" s="42"/>
      <c r="Y16" s="42"/>
      <c r="Z16" s="42"/>
      <c r="AA16" s="42"/>
      <c r="AB16" s="42"/>
      <c r="AC16" s="42"/>
    </row>
    <row r="17">
      <c r="A17" s="39">
        <v>13.0</v>
      </c>
      <c r="B17" s="48" t="s">
        <v>317</v>
      </c>
      <c r="C17" s="48" t="s">
        <v>318</v>
      </c>
      <c r="D17" s="48">
        <v>900932.0</v>
      </c>
      <c r="E17" s="39">
        <v>20.0</v>
      </c>
      <c r="F17" s="39">
        <v>20.0</v>
      </c>
      <c r="G17" s="39">
        <v>18.0</v>
      </c>
      <c r="H17" s="39">
        <v>20.0</v>
      </c>
      <c r="I17" s="39">
        <v>8.0</v>
      </c>
      <c r="J17" s="39">
        <v>9.0</v>
      </c>
      <c r="K17" s="39">
        <v>9.0</v>
      </c>
      <c r="L17" s="39">
        <v>10.0</v>
      </c>
      <c r="M17" s="153">
        <v>14.0</v>
      </c>
      <c r="N17" s="151">
        <v>14.0</v>
      </c>
      <c r="O17" s="39">
        <v>15.0</v>
      </c>
      <c r="P17" s="39">
        <v>15.0</v>
      </c>
      <c r="Q17" s="39">
        <v>50.0</v>
      </c>
      <c r="R17" s="39">
        <v>44.0</v>
      </c>
      <c r="S17" s="39">
        <v>49.0</v>
      </c>
      <c r="T17" s="39">
        <v>49.0</v>
      </c>
      <c r="U17" s="42"/>
      <c r="V17" s="42"/>
      <c r="W17" s="42"/>
      <c r="X17" s="42"/>
      <c r="Y17" s="42"/>
      <c r="Z17" s="42"/>
      <c r="AA17" s="42"/>
      <c r="AB17" s="42"/>
      <c r="AC17" s="42"/>
    </row>
    <row r="18">
      <c r="A18" s="39">
        <v>14.0</v>
      </c>
      <c r="B18" s="48" t="s">
        <v>319</v>
      </c>
      <c r="C18" s="48" t="s">
        <v>320</v>
      </c>
      <c r="D18" s="48">
        <v>9001135.0</v>
      </c>
      <c r="E18" s="39">
        <v>17.0</v>
      </c>
      <c r="F18" s="39">
        <v>15.0</v>
      </c>
      <c r="G18" s="39">
        <v>9.0</v>
      </c>
      <c r="H18" s="39">
        <v>17.0</v>
      </c>
      <c r="I18" s="39">
        <v>6.0</v>
      </c>
      <c r="J18" s="41">
        <v>4.0</v>
      </c>
      <c r="K18" s="41">
        <v>2.0</v>
      </c>
      <c r="L18" s="41">
        <v>2.0</v>
      </c>
      <c r="M18" s="153">
        <v>8.0</v>
      </c>
      <c r="N18" s="155">
        <v>7.0</v>
      </c>
      <c r="O18" s="39">
        <v>9.0</v>
      </c>
      <c r="P18" s="39">
        <v>10.0</v>
      </c>
      <c r="Q18" s="39">
        <v>30.0</v>
      </c>
      <c r="R18" s="39">
        <v>33.0</v>
      </c>
      <c r="S18" s="39">
        <v>25.0</v>
      </c>
      <c r="T18" s="39">
        <v>27.0</v>
      </c>
      <c r="U18" s="42"/>
      <c r="V18" s="42"/>
      <c r="W18" s="42"/>
      <c r="X18" s="42"/>
      <c r="Y18" s="42"/>
      <c r="Z18" s="42"/>
      <c r="AA18" s="42"/>
      <c r="AB18" s="42"/>
      <c r="AC18" s="42"/>
    </row>
    <row r="19">
      <c r="A19" s="39">
        <v>15.0</v>
      </c>
      <c r="B19" s="111" t="s">
        <v>321</v>
      </c>
      <c r="C19" s="48" t="s">
        <v>322</v>
      </c>
      <c r="D19" s="48">
        <v>900658.0</v>
      </c>
      <c r="E19" s="39">
        <v>17.0</v>
      </c>
      <c r="F19" s="39">
        <v>18.0</v>
      </c>
      <c r="G19" s="39">
        <v>18.0</v>
      </c>
      <c r="H19" s="80"/>
      <c r="I19" s="123">
        <v>9.0</v>
      </c>
      <c r="J19" s="39">
        <v>7.0</v>
      </c>
      <c r="K19" s="39">
        <v>6.0</v>
      </c>
      <c r="L19" s="39">
        <v>10.0</v>
      </c>
      <c r="M19" s="153">
        <v>8.0</v>
      </c>
      <c r="N19" s="151">
        <v>8.0</v>
      </c>
      <c r="O19" s="39">
        <v>9.0</v>
      </c>
      <c r="P19" s="39">
        <v>10.0</v>
      </c>
      <c r="Q19" s="39">
        <v>32.0</v>
      </c>
      <c r="R19" s="39">
        <v>35.0</v>
      </c>
      <c r="S19" s="39">
        <v>42.0</v>
      </c>
      <c r="T19" s="39">
        <v>40.0</v>
      </c>
      <c r="U19" s="42"/>
      <c r="V19" s="42"/>
      <c r="W19" s="42"/>
      <c r="X19" s="42"/>
      <c r="Y19" s="42"/>
      <c r="Z19" s="42"/>
      <c r="AA19" s="42"/>
      <c r="AB19" s="42"/>
      <c r="AC19" s="42"/>
    </row>
    <row r="20">
      <c r="A20" s="39">
        <v>16.0</v>
      </c>
      <c r="B20" s="111" t="s">
        <v>323</v>
      </c>
      <c r="C20" s="48" t="s">
        <v>324</v>
      </c>
      <c r="D20" s="48">
        <v>900898.0</v>
      </c>
      <c r="E20" s="39">
        <v>15.0</v>
      </c>
      <c r="F20" s="39">
        <v>17.0</v>
      </c>
      <c r="G20" s="39">
        <v>10.0</v>
      </c>
      <c r="H20" s="80"/>
      <c r="I20" s="39">
        <v>8.0</v>
      </c>
      <c r="J20" s="39">
        <v>6.0</v>
      </c>
      <c r="K20" s="41">
        <v>3.0</v>
      </c>
      <c r="L20" s="39">
        <v>6.0</v>
      </c>
      <c r="M20" s="153">
        <v>8.0</v>
      </c>
      <c r="N20" s="151">
        <v>12.0</v>
      </c>
      <c r="O20" s="39">
        <v>10.0</v>
      </c>
      <c r="P20" s="39">
        <v>14.0</v>
      </c>
      <c r="Q20" s="39">
        <v>34.0</v>
      </c>
      <c r="R20" s="39">
        <v>25.0</v>
      </c>
      <c r="S20" s="39">
        <v>30.0</v>
      </c>
      <c r="T20" s="39">
        <v>35.0</v>
      </c>
      <c r="U20" s="42"/>
      <c r="V20" s="42"/>
      <c r="W20" s="42"/>
      <c r="X20" s="42"/>
      <c r="Y20" s="42"/>
      <c r="Z20" s="42"/>
      <c r="AA20" s="42"/>
      <c r="AB20" s="42"/>
      <c r="AC20" s="42"/>
    </row>
    <row r="21">
      <c r="A21" s="39">
        <v>17.0</v>
      </c>
      <c r="B21" s="111" t="s">
        <v>325</v>
      </c>
      <c r="C21" s="48" t="s">
        <v>326</v>
      </c>
      <c r="D21" s="48">
        <v>900885.0</v>
      </c>
      <c r="E21" s="39">
        <v>10.0</v>
      </c>
      <c r="F21" s="39">
        <v>11.0</v>
      </c>
      <c r="G21" s="39">
        <v>10.0</v>
      </c>
      <c r="H21" s="80"/>
      <c r="I21" s="39">
        <v>5.0</v>
      </c>
      <c r="J21" s="39">
        <v>5.0</v>
      </c>
      <c r="K21" s="39">
        <v>5.0</v>
      </c>
      <c r="L21" s="39">
        <v>5.0</v>
      </c>
      <c r="M21" s="153">
        <v>10.0</v>
      </c>
      <c r="N21" s="151">
        <v>12.0</v>
      </c>
      <c r="O21" s="39">
        <v>11.0</v>
      </c>
      <c r="P21" s="41">
        <v>7.0</v>
      </c>
      <c r="Q21" s="39">
        <v>35.0</v>
      </c>
      <c r="R21" s="39">
        <v>33.0</v>
      </c>
      <c r="S21" s="39">
        <v>27.0</v>
      </c>
      <c r="T21" s="39">
        <v>30.0</v>
      </c>
      <c r="U21" s="42"/>
      <c r="V21" s="42"/>
      <c r="W21" s="42"/>
      <c r="X21" s="42"/>
      <c r="Y21" s="42"/>
      <c r="Z21" s="42"/>
      <c r="AA21" s="42"/>
      <c r="AB21" s="42"/>
      <c r="AC21" s="42"/>
    </row>
    <row r="22">
      <c r="A22" s="39">
        <v>18.0</v>
      </c>
      <c r="B22" s="111" t="s">
        <v>327</v>
      </c>
      <c r="C22" s="48" t="s">
        <v>328</v>
      </c>
      <c r="D22" s="48">
        <v>900685.0</v>
      </c>
      <c r="E22" s="39">
        <v>18.0</v>
      </c>
      <c r="F22" s="39">
        <v>17.0</v>
      </c>
      <c r="G22" s="39">
        <v>10.0</v>
      </c>
      <c r="H22" s="80"/>
      <c r="I22" s="41">
        <v>4.0</v>
      </c>
      <c r="J22" s="41">
        <v>4.0</v>
      </c>
      <c r="K22" s="39">
        <v>7.0</v>
      </c>
      <c r="L22" s="39">
        <v>5.0</v>
      </c>
      <c r="M22" s="153">
        <v>11.0</v>
      </c>
      <c r="N22" s="151">
        <v>13.0</v>
      </c>
      <c r="O22" s="39">
        <v>11.0</v>
      </c>
      <c r="P22" s="39">
        <v>10.0</v>
      </c>
      <c r="Q22" s="39">
        <v>36.0</v>
      </c>
      <c r="R22" s="39">
        <v>40.0</v>
      </c>
      <c r="S22" s="39">
        <v>49.0</v>
      </c>
      <c r="T22" s="39">
        <v>40.0</v>
      </c>
      <c r="U22" s="42"/>
      <c r="V22" s="42"/>
      <c r="W22" s="42"/>
      <c r="X22" s="42"/>
      <c r="Y22" s="42"/>
      <c r="Z22" s="42"/>
      <c r="AA22" s="42"/>
      <c r="AB22" s="42"/>
      <c r="AC22" s="42"/>
    </row>
    <row r="23">
      <c r="A23" s="39">
        <v>19.0</v>
      </c>
      <c r="B23" s="111" t="s">
        <v>329</v>
      </c>
      <c r="C23" s="48" t="s">
        <v>330</v>
      </c>
      <c r="D23" s="48">
        <v>900692.0</v>
      </c>
      <c r="E23" s="39">
        <v>10.0</v>
      </c>
      <c r="F23" s="39">
        <v>10.0</v>
      </c>
      <c r="G23" s="39" t="s">
        <v>32</v>
      </c>
      <c r="H23" s="80"/>
      <c r="I23" s="39">
        <v>6.0</v>
      </c>
      <c r="J23" s="41" t="s">
        <v>32</v>
      </c>
      <c r="K23" s="39">
        <v>9.0</v>
      </c>
      <c r="L23" s="41" t="s">
        <v>32</v>
      </c>
      <c r="M23" s="154">
        <v>6.0</v>
      </c>
      <c r="N23" s="155">
        <v>5.0</v>
      </c>
      <c r="O23" s="41">
        <v>6.0</v>
      </c>
      <c r="P23" s="41">
        <v>6.0</v>
      </c>
      <c r="Q23" s="39">
        <v>36.0</v>
      </c>
      <c r="R23" s="39">
        <v>30.0</v>
      </c>
      <c r="S23" s="39">
        <v>29.0</v>
      </c>
      <c r="T23" s="39">
        <v>33.0</v>
      </c>
      <c r="U23" s="42"/>
      <c r="V23" s="42"/>
      <c r="W23" s="42"/>
      <c r="X23" s="42"/>
      <c r="Y23" s="42"/>
      <c r="Z23" s="42"/>
      <c r="AA23" s="42"/>
      <c r="AB23" s="42"/>
      <c r="AC23" s="42"/>
    </row>
    <row r="24">
      <c r="A24" s="39">
        <v>20.0</v>
      </c>
      <c r="B24" s="111" t="s">
        <v>331</v>
      </c>
      <c r="C24" s="48" t="s">
        <v>332</v>
      </c>
      <c r="D24" s="48">
        <v>900096.0</v>
      </c>
      <c r="E24" s="39">
        <v>18.0</v>
      </c>
      <c r="F24" s="39">
        <v>14.0</v>
      </c>
      <c r="G24" s="39">
        <v>14.0</v>
      </c>
      <c r="H24" s="80"/>
      <c r="I24" s="39">
        <v>6.0</v>
      </c>
      <c r="J24" s="39">
        <v>6.0</v>
      </c>
      <c r="K24" s="39">
        <v>7.0</v>
      </c>
      <c r="L24" s="39">
        <v>5.0</v>
      </c>
      <c r="M24" s="154">
        <v>7.0</v>
      </c>
      <c r="N24" s="151">
        <v>12.0</v>
      </c>
      <c r="O24" s="39">
        <v>8.0</v>
      </c>
      <c r="P24" s="39">
        <v>10.0</v>
      </c>
      <c r="Q24" s="39">
        <v>34.0</v>
      </c>
      <c r="R24" s="39">
        <v>27.0</v>
      </c>
      <c r="S24" s="39">
        <v>25.0</v>
      </c>
      <c r="T24" s="39">
        <v>28.0</v>
      </c>
      <c r="U24" s="42"/>
      <c r="V24" s="42"/>
      <c r="W24" s="42"/>
      <c r="X24" s="42"/>
      <c r="Y24" s="42"/>
      <c r="Z24" s="42"/>
      <c r="AA24" s="42"/>
      <c r="AB24" s="42"/>
      <c r="AC24" s="42"/>
    </row>
    <row r="25">
      <c r="A25" s="39">
        <v>21.0</v>
      </c>
      <c r="B25" s="111" t="s">
        <v>333</v>
      </c>
      <c r="C25" s="48" t="s">
        <v>334</v>
      </c>
      <c r="D25" s="48">
        <v>900653.0</v>
      </c>
      <c r="E25" s="39">
        <v>17.0</v>
      </c>
      <c r="F25" s="39">
        <v>17.0</v>
      </c>
      <c r="G25" s="39">
        <v>16.0</v>
      </c>
      <c r="H25" s="80"/>
      <c r="I25" s="39">
        <v>7.0</v>
      </c>
      <c r="J25" s="39">
        <v>8.0</v>
      </c>
      <c r="K25" s="39">
        <v>9.0</v>
      </c>
      <c r="L25" s="39">
        <v>7.0</v>
      </c>
      <c r="M25" s="153">
        <v>9.0</v>
      </c>
      <c r="N25" s="151">
        <v>9.0</v>
      </c>
      <c r="O25" s="39">
        <v>12.0</v>
      </c>
      <c r="P25" s="39">
        <v>15.0</v>
      </c>
      <c r="Q25" s="39">
        <v>46.0</v>
      </c>
      <c r="R25" s="39">
        <v>43.0</v>
      </c>
      <c r="S25" s="39">
        <v>45.0</v>
      </c>
      <c r="T25" s="39">
        <v>40.0</v>
      </c>
      <c r="U25" s="42"/>
      <c r="V25" s="42"/>
      <c r="W25" s="42"/>
      <c r="X25" s="42"/>
      <c r="Y25" s="42"/>
      <c r="Z25" s="42"/>
      <c r="AA25" s="42"/>
      <c r="AB25" s="42"/>
      <c r="AC25" s="42"/>
    </row>
    <row r="26">
      <c r="A26" s="39">
        <v>22.0</v>
      </c>
      <c r="B26" s="111" t="s">
        <v>335</v>
      </c>
      <c r="C26" s="48" t="s">
        <v>336</v>
      </c>
      <c r="D26" s="48">
        <v>901083.0</v>
      </c>
      <c r="E26" s="41">
        <v>13.0</v>
      </c>
      <c r="F26" s="41">
        <v>10.0</v>
      </c>
      <c r="G26" s="41" t="s">
        <v>32</v>
      </c>
      <c r="H26" s="80"/>
      <c r="I26" s="39">
        <v>6.0</v>
      </c>
      <c r="J26" s="39">
        <v>6.0</v>
      </c>
      <c r="K26" s="39">
        <v>5.0</v>
      </c>
      <c r="L26" s="41" t="s">
        <v>32</v>
      </c>
      <c r="M26" s="153">
        <v>13.0</v>
      </c>
      <c r="N26" s="151">
        <v>14.0</v>
      </c>
      <c r="O26" s="39">
        <v>12.0</v>
      </c>
      <c r="P26" s="39">
        <v>10.0</v>
      </c>
      <c r="Q26" s="39">
        <v>48.0</v>
      </c>
      <c r="R26" s="39">
        <v>30.0</v>
      </c>
      <c r="S26" s="39">
        <v>29.0</v>
      </c>
      <c r="T26" s="39">
        <v>31.0</v>
      </c>
      <c r="U26" s="42"/>
      <c r="V26" s="42"/>
      <c r="W26" s="42"/>
      <c r="X26" s="42"/>
      <c r="Y26" s="42"/>
      <c r="Z26" s="42"/>
      <c r="AA26" s="42"/>
      <c r="AB26" s="42"/>
      <c r="AC26" s="42"/>
    </row>
    <row r="27">
      <c r="A27" s="39">
        <v>23.0</v>
      </c>
      <c r="B27" s="111" t="s">
        <v>337</v>
      </c>
      <c r="C27" s="39" t="s">
        <v>338</v>
      </c>
      <c r="D27" s="39">
        <v>900696.0</v>
      </c>
      <c r="E27" s="39">
        <v>10.0</v>
      </c>
      <c r="F27" s="39">
        <v>5.0</v>
      </c>
      <c r="G27" s="39">
        <v>15.0</v>
      </c>
      <c r="H27" s="80"/>
      <c r="I27" s="41">
        <v>0.0</v>
      </c>
      <c r="J27" s="41">
        <v>0.0</v>
      </c>
      <c r="K27" s="39">
        <v>8.0</v>
      </c>
      <c r="L27" s="41">
        <v>4.0</v>
      </c>
      <c r="M27" s="153">
        <v>10.0</v>
      </c>
      <c r="N27" s="155">
        <v>7.0</v>
      </c>
      <c r="O27" s="39">
        <v>8.0</v>
      </c>
      <c r="P27" s="39">
        <v>10.0</v>
      </c>
      <c r="Q27" s="39">
        <v>37.0</v>
      </c>
      <c r="R27" s="39">
        <v>26.0</v>
      </c>
      <c r="S27" s="39">
        <v>28.0</v>
      </c>
      <c r="T27" s="39">
        <v>25.0</v>
      </c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>
      <c r="A28" s="39">
        <v>24.0</v>
      </c>
      <c r="B28" s="111" t="s">
        <v>339</v>
      </c>
      <c r="C28" s="48" t="s">
        <v>340</v>
      </c>
      <c r="D28" s="48">
        <v>900776.0</v>
      </c>
      <c r="E28" s="39">
        <v>8.0</v>
      </c>
      <c r="F28" s="39">
        <v>10.0</v>
      </c>
      <c r="G28" s="39">
        <v>10.0</v>
      </c>
      <c r="H28" s="80"/>
      <c r="I28" s="41">
        <v>0.0</v>
      </c>
      <c r="J28" s="41">
        <v>4.0</v>
      </c>
      <c r="K28" s="39">
        <v>8.0</v>
      </c>
      <c r="L28" s="39">
        <v>5.0</v>
      </c>
      <c r="M28" s="154">
        <v>5.0</v>
      </c>
      <c r="N28" s="151">
        <v>10.0</v>
      </c>
      <c r="O28" s="41">
        <v>4.0</v>
      </c>
      <c r="P28" s="41">
        <v>7.0</v>
      </c>
      <c r="Q28" s="39">
        <v>26.0</v>
      </c>
      <c r="R28" s="41">
        <v>10.0</v>
      </c>
      <c r="S28" s="41">
        <v>12.0</v>
      </c>
      <c r="T28" s="39">
        <v>26.0</v>
      </c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>
      <c r="A29" s="39">
        <v>25.0</v>
      </c>
      <c r="B29" s="111" t="s">
        <v>341</v>
      </c>
      <c r="C29" s="48" t="s">
        <v>342</v>
      </c>
      <c r="D29" s="48">
        <v>90114.0</v>
      </c>
      <c r="E29" s="39">
        <v>15.0</v>
      </c>
      <c r="F29" s="39">
        <v>20.0</v>
      </c>
      <c r="G29" s="39">
        <v>19.0</v>
      </c>
      <c r="H29" s="80"/>
      <c r="I29" s="39">
        <v>9.0</v>
      </c>
      <c r="J29" s="39">
        <v>8.0</v>
      </c>
      <c r="K29" s="39">
        <v>8.0</v>
      </c>
      <c r="L29" s="39">
        <v>9.0</v>
      </c>
      <c r="M29" s="153">
        <v>14.0</v>
      </c>
      <c r="N29" s="151">
        <v>14.0</v>
      </c>
      <c r="O29" s="39">
        <v>15.0</v>
      </c>
      <c r="P29" s="39">
        <v>15.0</v>
      </c>
      <c r="Q29" s="39">
        <v>48.0</v>
      </c>
      <c r="R29" s="39">
        <v>38.0</v>
      </c>
      <c r="S29" s="39">
        <v>48.0</v>
      </c>
      <c r="T29" s="39">
        <v>46.0</v>
      </c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>
      <c r="A30" s="39">
        <v>26.0</v>
      </c>
      <c r="B30" s="111" t="s">
        <v>343</v>
      </c>
      <c r="C30" s="39" t="s">
        <v>344</v>
      </c>
      <c r="D30" s="39">
        <v>900541.0</v>
      </c>
      <c r="E30" s="39">
        <v>9.0</v>
      </c>
      <c r="F30" s="39">
        <v>12.0</v>
      </c>
      <c r="G30" s="80"/>
      <c r="H30" s="80"/>
      <c r="I30" s="41">
        <v>0.0</v>
      </c>
      <c r="J30" s="39">
        <v>5.0</v>
      </c>
      <c r="K30" s="39">
        <v>13.0</v>
      </c>
      <c r="L30" s="41">
        <v>4.0</v>
      </c>
      <c r="M30" s="153">
        <v>9.0</v>
      </c>
      <c r="N30" s="151">
        <v>9.0</v>
      </c>
      <c r="O30" s="39">
        <v>10.0</v>
      </c>
      <c r="P30" s="39">
        <v>12.0</v>
      </c>
      <c r="Q30" s="39">
        <v>38.0</v>
      </c>
      <c r="R30" s="39">
        <v>30.0</v>
      </c>
      <c r="S30" s="39">
        <v>25.0</v>
      </c>
      <c r="T30" s="39">
        <v>30.0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>
      <c r="A31" s="39">
        <v>27.0</v>
      </c>
      <c r="B31" s="39" t="s">
        <v>345</v>
      </c>
      <c r="C31" s="39" t="s">
        <v>346</v>
      </c>
      <c r="D31" s="39">
        <v>901209.0</v>
      </c>
      <c r="E31" s="80"/>
      <c r="F31" s="80"/>
      <c r="G31" s="80"/>
      <c r="H31" s="80"/>
      <c r="I31" s="34"/>
      <c r="J31" s="34"/>
      <c r="K31" s="34"/>
      <c r="L31" s="34"/>
      <c r="M31" s="154">
        <v>3.0</v>
      </c>
      <c r="N31" s="155">
        <v>5.0</v>
      </c>
      <c r="O31" s="39">
        <v>9.0</v>
      </c>
      <c r="P31" s="41">
        <v>6.0</v>
      </c>
      <c r="Q31" s="41">
        <v>19.0</v>
      </c>
      <c r="R31" s="41">
        <v>10.0</v>
      </c>
      <c r="S31" s="41">
        <v>12.0</v>
      </c>
      <c r="T31" s="41">
        <v>6.0</v>
      </c>
      <c r="U31" s="42"/>
      <c r="V31" s="42"/>
      <c r="W31" s="42"/>
      <c r="X31" s="42"/>
      <c r="Y31" s="42"/>
      <c r="Z31" s="42"/>
      <c r="AA31" s="42"/>
      <c r="AB31" s="42"/>
      <c r="AC31" s="42"/>
    </row>
    <row r="32">
      <c r="A32" s="39">
        <v>28.0</v>
      </c>
      <c r="B32" s="39" t="s">
        <v>347</v>
      </c>
      <c r="C32" s="39" t="s">
        <v>63</v>
      </c>
      <c r="D32" s="39">
        <v>901008.0</v>
      </c>
      <c r="E32" s="80"/>
      <c r="F32" s="80"/>
      <c r="G32" s="80"/>
      <c r="H32" s="80"/>
      <c r="I32" s="34"/>
      <c r="J32" s="34"/>
      <c r="K32" s="34"/>
      <c r="L32" s="34"/>
      <c r="M32" s="150">
        <v>14.0</v>
      </c>
      <c r="N32" s="155">
        <v>7.0</v>
      </c>
      <c r="O32" s="39">
        <v>15.0</v>
      </c>
      <c r="P32" s="39">
        <v>10.0</v>
      </c>
      <c r="Q32" s="39">
        <v>47.0</v>
      </c>
      <c r="R32" s="39">
        <v>38.0</v>
      </c>
      <c r="S32" s="39">
        <v>42.0</v>
      </c>
      <c r="T32" s="39">
        <v>35.0</v>
      </c>
      <c r="U32" s="42"/>
      <c r="V32" s="42"/>
      <c r="W32" s="42"/>
      <c r="X32" s="42"/>
      <c r="Y32" s="42"/>
      <c r="Z32" s="42"/>
      <c r="AA32" s="42"/>
      <c r="AB32" s="42"/>
      <c r="AC32" s="42"/>
    </row>
    <row r="33">
      <c r="A33" s="39">
        <v>29.0</v>
      </c>
      <c r="B33" s="39" t="s">
        <v>348</v>
      </c>
      <c r="C33" s="39" t="s">
        <v>322</v>
      </c>
      <c r="D33" s="39">
        <v>900657.0</v>
      </c>
      <c r="E33" s="80"/>
      <c r="F33" s="80"/>
      <c r="G33" s="80"/>
      <c r="H33" s="80"/>
      <c r="I33" s="34"/>
      <c r="J33" s="34"/>
      <c r="K33" s="34"/>
      <c r="L33" s="34"/>
      <c r="M33" s="150">
        <v>12.0</v>
      </c>
      <c r="N33" s="156">
        <v>13.0</v>
      </c>
      <c r="O33" s="39">
        <v>11.0</v>
      </c>
      <c r="P33" s="39">
        <v>15.0</v>
      </c>
      <c r="Q33" s="39">
        <v>44.0</v>
      </c>
      <c r="R33" s="39">
        <v>30.0</v>
      </c>
      <c r="S33" s="39">
        <v>32.0</v>
      </c>
      <c r="T33" s="39">
        <v>43.0</v>
      </c>
      <c r="U33" s="42"/>
      <c r="V33" s="42"/>
      <c r="W33" s="42"/>
      <c r="X33" s="42"/>
      <c r="Y33" s="42"/>
      <c r="Z33" s="42"/>
      <c r="AA33" s="42"/>
      <c r="AB33" s="42"/>
      <c r="AC33" s="42"/>
    </row>
    <row r="34">
      <c r="A34" s="39">
        <v>30.0</v>
      </c>
      <c r="B34" s="48" t="s">
        <v>349</v>
      </c>
      <c r="C34" s="48" t="s">
        <v>350</v>
      </c>
      <c r="D34" s="117">
        <v>901238.0</v>
      </c>
      <c r="E34" s="46"/>
      <c r="F34" s="46"/>
      <c r="G34" s="46"/>
      <c r="H34" s="46"/>
      <c r="I34" s="50"/>
      <c r="J34" s="50"/>
      <c r="K34" s="50"/>
      <c r="L34" s="50"/>
      <c r="M34" s="157">
        <v>12.0</v>
      </c>
      <c r="N34" s="39">
        <v>11.0</v>
      </c>
      <c r="O34" s="39">
        <v>12.0</v>
      </c>
      <c r="P34" s="39">
        <v>15.0</v>
      </c>
      <c r="Q34" s="39">
        <v>50.0</v>
      </c>
      <c r="R34" s="39">
        <v>37.0</v>
      </c>
      <c r="S34" s="39">
        <v>44.0</v>
      </c>
      <c r="T34" s="39">
        <v>46.0</v>
      </c>
      <c r="U34" s="42"/>
      <c r="V34" s="42"/>
      <c r="W34" s="42"/>
      <c r="X34" s="42"/>
      <c r="Y34" s="42"/>
      <c r="Z34" s="42"/>
      <c r="AA34" s="42"/>
      <c r="AB34" s="42"/>
      <c r="AC34" s="42"/>
    </row>
    <row r="35">
      <c r="A35" s="39"/>
      <c r="B35" s="48"/>
      <c r="C35" s="48"/>
      <c r="D35" s="112"/>
      <c r="E35" s="46"/>
      <c r="F35" s="46"/>
      <c r="G35" s="46"/>
      <c r="H35" s="46"/>
      <c r="I35" s="50"/>
      <c r="J35" s="50"/>
      <c r="K35" s="50"/>
      <c r="L35" s="50"/>
      <c r="M35" s="158"/>
      <c r="N35" s="124"/>
      <c r="O35" s="80"/>
      <c r="P35" s="80"/>
      <c r="Q35" s="80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</row>
    <row r="36">
      <c r="A36" s="39"/>
      <c r="B36" s="159" t="s">
        <v>85</v>
      </c>
      <c r="C36" s="48"/>
      <c r="E36" s="62">
        <f t="shared" ref="E36:L36" si="1">SUM(E5:E18)</f>
        <v>245</v>
      </c>
      <c r="F36" s="62">
        <f t="shared" si="1"/>
        <v>223</v>
      </c>
      <c r="G36" s="62">
        <f t="shared" si="1"/>
        <v>216</v>
      </c>
      <c r="H36" s="62">
        <f t="shared" si="1"/>
        <v>234</v>
      </c>
      <c r="I36" s="64">
        <f t="shared" si="1"/>
        <v>107</v>
      </c>
      <c r="J36" s="64">
        <f t="shared" si="1"/>
        <v>119</v>
      </c>
      <c r="K36" s="64">
        <f t="shared" si="1"/>
        <v>108</v>
      </c>
      <c r="L36" s="64">
        <f t="shared" si="1"/>
        <v>104</v>
      </c>
      <c r="M36" s="56">
        <f t="shared" ref="M36:T36" si="2">SUM(M2:M35)</f>
        <v>312</v>
      </c>
      <c r="N36" s="56">
        <f t="shared" si="2"/>
        <v>340</v>
      </c>
      <c r="O36" s="56">
        <f t="shared" si="2"/>
        <v>343</v>
      </c>
      <c r="P36" s="56">
        <f t="shared" si="2"/>
        <v>360</v>
      </c>
      <c r="Q36" s="160">
        <f t="shared" si="2"/>
        <v>1196</v>
      </c>
      <c r="R36" s="160">
        <f t="shared" si="2"/>
        <v>994</v>
      </c>
      <c r="S36" s="160">
        <f t="shared" si="2"/>
        <v>1048</v>
      </c>
      <c r="T36" s="160">
        <f t="shared" si="2"/>
        <v>1070</v>
      </c>
      <c r="U36" s="161"/>
      <c r="V36" s="161"/>
      <c r="W36" s="161"/>
      <c r="X36" s="161"/>
      <c r="Y36" s="161"/>
      <c r="Z36" s="161"/>
      <c r="AA36" s="161"/>
      <c r="AB36" s="161"/>
      <c r="AC36" s="42"/>
    </row>
    <row r="37">
      <c r="A37" s="39"/>
      <c r="B37" s="159" t="s">
        <v>86</v>
      </c>
      <c r="C37" s="34"/>
      <c r="E37" s="58">
        <f t="shared" ref="E37:T37" si="3">E36/E41</f>
        <v>10.65217391</v>
      </c>
      <c r="F37" s="58">
        <f t="shared" si="3"/>
        <v>10.13636364</v>
      </c>
      <c r="G37" s="58">
        <f t="shared" si="3"/>
        <v>9.818181818</v>
      </c>
      <c r="H37" s="58">
        <f t="shared" si="3"/>
        <v>11.14285714</v>
      </c>
      <c r="I37" s="162">
        <f t="shared" si="3"/>
        <v>5.095238095</v>
      </c>
      <c r="J37" s="162">
        <f t="shared" si="3"/>
        <v>5.666666667</v>
      </c>
      <c r="K37" s="162">
        <f t="shared" si="3"/>
        <v>5.142857143</v>
      </c>
      <c r="L37" s="162">
        <f t="shared" si="3"/>
        <v>4.952380952</v>
      </c>
      <c r="M37" s="163">
        <f t="shared" si="3"/>
        <v>10.4</v>
      </c>
      <c r="N37" s="163">
        <f t="shared" si="3"/>
        <v>11.33333333</v>
      </c>
      <c r="O37" s="163">
        <f t="shared" si="3"/>
        <v>11.43333333</v>
      </c>
      <c r="P37" s="163">
        <f t="shared" si="3"/>
        <v>12</v>
      </c>
      <c r="Q37" s="164">
        <f t="shared" si="3"/>
        <v>41.24137931</v>
      </c>
      <c r="R37" s="164">
        <f t="shared" si="3"/>
        <v>34.27586207</v>
      </c>
      <c r="S37" s="164">
        <f t="shared" si="3"/>
        <v>36.13793103</v>
      </c>
      <c r="T37" s="164">
        <f t="shared" si="3"/>
        <v>36.89655172</v>
      </c>
      <c r="U37" s="42"/>
      <c r="V37" s="42"/>
      <c r="W37" s="42"/>
      <c r="X37" s="42"/>
      <c r="Y37" s="42"/>
      <c r="Z37" s="42"/>
      <c r="AA37" s="42"/>
      <c r="AB37" s="42"/>
      <c r="AC37" s="42"/>
    </row>
    <row r="38">
      <c r="A38" s="39"/>
      <c r="B38" s="159" t="s">
        <v>87</v>
      </c>
      <c r="C38" s="34"/>
      <c r="E38" s="92">
        <v>23.0</v>
      </c>
      <c r="F38" s="92">
        <v>23.0</v>
      </c>
      <c r="G38" s="58"/>
      <c r="H38" s="58"/>
      <c r="I38" s="64">
        <v>21.0</v>
      </c>
      <c r="J38" s="64"/>
      <c r="K38" s="64"/>
      <c r="L38" s="56"/>
      <c r="M38" s="68">
        <v>31.0</v>
      </c>
      <c r="N38" s="68">
        <v>31.0</v>
      </c>
      <c r="O38" s="68">
        <v>31.0</v>
      </c>
      <c r="P38" s="68">
        <v>31.0</v>
      </c>
      <c r="Q38" s="165">
        <v>30.0</v>
      </c>
      <c r="R38" s="165">
        <v>30.0</v>
      </c>
      <c r="S38" s="165">
        <v>30.0</v>
      </c>
      <c r="T38" s="165">
        <v>30.0</v>
      </c>
      <c r="U38" s="42"/>
      <c r="V38" s="42"/>
      <c r="W38" s="42"/>
      <c r="X38" s="42"/>
      <c r="Y38" s="42"/>
      <c r="Z38" s="42"/>
      <c r="AA38" s="42"/>
      <c r="AB38" s="42"/>
      <c r="AC38" s="42"/>
    </row>
    <row r="39">
      <c r="A39" s="39"/>
      <c r="B39" s="159" t="s">
        <v>88</v>
      </c>
      <c r="C39" s="34"/>
      <c r="E39" s="92">
        <v>17.0</v>
      </c>
      <c r="F39" s="92">
        <v>20.0</v>
      </c>
      <c r="G39" s="92">
        <v>19.0</v>
      </c>
      <c r="H39" s="92">
        <v>18.0</v>
      </c>
      <c r="I39" s="64">
        <v>20.0</v>
      </c>
      <c r="J39" s="64">
        <v>20.0</v>
      </c>
      <c r="K39" s="64">
        <v>20.0</v>
      </c>
      <c r="L39" s="64">
        <v>19.0</v>
      </c>
      <c r="M39" s="68">
        <v>25.0</v>
      </c>
      <c r="N39" s="68">
        <v>24.0</v>
      </c>
      <c r="O39" s="64">
        <v>28.0</v>
      </c>
      <c r="P39" s="64">
        <v>26.0</v>
      </c>
      <c r="Q39" s="165">
        <v>28.0</v>
      </c>
      <c r="R39" s="165">
        <v>27.0</v>
      </c>
      <c r="S39" s="165">
        <v>27.0</v>
      </c>
      <c r="T39" s="165">
        <v>28.0</v>
      </c>
      <c r="U39" s="42"/>
      <c r="V39" s="42"/>
      <c r="W39" s="42"/>
      <c r="X39" s="42"/>
      <c r="Y39" s="42"/>
      <c r="Z39" s="42"/>
      <c r="AA39" s="42"/>
      <c r="AB39" s="42"/>
      <c r="AC39" s="42"/>
    </row>
    <row r="40">
      <c r="A40" s="39"/>
      <c r="B40" s="159" t="s">
        <v>89</v>
      </c>
      <c r="C40" s="34"/>
      <c r="E40" s="92">
        <v>6.0</v>
      </c>
      <c r="F40" s="92">
        <v>2.0</v>
      </c>
      <c r="G40" s="92">
        <v>3.0</v>
      </c>
      <c r="H40" s="92">
        <v>3.0</v>
      </c>
      <c r="I40" s="64">
        <v>1.0</v>
      </c>
      <c r="J40" s="64">
        <v>1.0</v>
      </c>
      <c r="K40" s="64">
        <v>1.0</v>
      </c>
      <c r="L40" s="64">
        <v>2.0</v>
      </c>
      <c r="M40" s="71">
        <v>5.0</v>
      </c>
      <c r="N40" s="71">
        <v>6.0</v>
      </c>
      <c r="O40" s="93">
        <v>2.0</v>
      </c>
      <c r="P40" s="93">
        <v>4.0</v>
      </c>
      <c r="Q40" s="165">
        <v>1.0</v>
      </c>
      <c r="R40" s="165">
        <v>2.0</v>
      </c>
      <c r="S40" s="165">
        <v>2.0</v>
      </c>
      <c r="T40" s="165">
        <v>1.0</v>
      </c>
      <c r="U40" s="42"/>
      <c r="V40" s="42"/>
      <c r="W40" s="42"/>
      <c r="X40" s="42"/>
      <c r="Y40" s="42"/>
      <c r="Z40" s="42"/>
      <c r="AA40" s="42"/>
      <c r="AB40" s="42"/>
      <c r="AC40" s="42"/>
    </row>
    <row r="41">
      <c r="A41" s="39"/>
      <c r="B41" s="159" t="s">
        <v>90</v>
      </c>
      <c r="C41" s="34"/>
      <c r="E41" s="92">
        <v>23.0</v>
      </c>
      <c r="F41" s="92">
        <v>22.0</v>
      </c>
      <c r="G41" s="92">
        <v>22.0</v>
      </c>
      <c r="H41" s="92">
        <v>21.0</v>
      </c>
      <c r="I41" s="64">
        <v>21.0</v>
      </c>
      <c r="J41" s="64">
        <v>21.0</v>
      </c>
      <c r="K41" s="64">
        <v>21.0</v>
      </c>
      <c r="L41" s="64">
        <v>21.0</v>
      </c>
      <c r="M41" s="68">
        <v>30.0</v>
      </c>
      <c r="N41" s="68">
        <v>30.0</v>
      </c>
      <c r="O41" s="64">
        <v>30.0</v>
      </c>
      <c r="P41" s="64">
        <v>30.0</v>
      </c>
      <c r="Q41" s="165">
        <v>29.0</v>
      </c>
      <c r="R41" s="165">
        <v>29.0</v>
      </c>
      <c r="S41" s="165">
        <v>29.0</v>
      </c>
      <c r="T41" s="165">
        <v>29.0</v>
      </c>
      <c r="U41" s="42"/>
      <c r="V41" s="42"/>
      <c r="W41" s="42"/>
      <c r="X41" s="42"/>
      <c r="Y41" s="42"/>
      <c r="Z41" s="42"/>
      <c r="AA41" s="42"/>
      <c r="AB41" s="42"/>
      <c r="AC41" s="42"/>
    </row>
    <row r="42">
      <c r="B42" s="103" t="s">
        <v>351</v>
      </c>
      <c r="E42" s="47"/>
      <c r="F42" s="47"/>
      <c r="G42" s="47"/>
      <c r="H42" s="47"/>
      <c r="I42" s="166"/>
      <c r="J42" s="166"/>
      <c r="K42" s="166"/>
      <c r="L42" s="166"/>
      <c r="M42" s="167">
        <f t="shared" ref="M42:Q42" si="4">COUNTIF(M5:M34,"A")</f>
        <v>0</v>
      </c>
      <c r="N42" s="167">
        <f t="shared" si="4"/>
        <v>0</v>
      </c>
      <c r="O42" s="167">
        <f t="shared" si="4"/>
        <v>0</v>
      </c>
      <c r="P42" s="167">
        <f t="shared" si="4"/>
        <v>0</v>
      </c>
      <c r="Q42" s="168">
        <f t="shared" si="4"/>
        <v>0</v>
      </c>
      <c r="R42" s="168"/>
      <c r="S42" s="168"/>
      <c r="T42" s="168"/>
      <c r="U42" s="167"/>
      <c r="V42" s="167"/>
      <c r="W42" s="167"/>
      <c r="X42" s="167"/>
      <c r="Y42" s="167"/>
      <c r="Z42" s="167"/>
      <c r="AA42" s="167"/>
      <c r="AB42" s="167"/>
      <c r="AC42" s="167">
        <f t="shared" ref="AC42:AD42" si="5">COUNTIF(AC5:AC34,"A")</f>
        <v>0</v>
      </c>
      <c r="AD42" s="167">
        <f t="shared" si="5"/>
        <v>0</v>
      </c>
    </row>
    <row r="43">
      <c r="E43" s="47"/>
      <c r="F43" s="47"/>
      <c r="G43" s="47"/>
      <c r="H43" s="47"/>
      <c r="I43" s="76"/>
      <c r="J43" s="47"/>
      <c r="K43" s="47"/>
      <c r="L43" s="47"/>
      <c r="M43" s="167"/>
      <c r="N43" s="169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</row>
    <row r="44">
      <c r="E44" s="47"/>
      <c r="F44" s="47"/>
      <c r="G44" s="47"/>
      <c r="H44" s="47"/>
      <c r="I44" s="47"/>
      <c r="J44" s="47"/>
      <c r="K44" s="47"/>
      <c r="L44" s="47"/>
      <c r="M44" s="167"/>
      <c r="N44" s="169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</row>
    <row r="45">
      <c r="A45" s="81"/>
      <c r="B45" s="95"/>
      <c r="C45" s="96"/>
      <c r="D45" s="96"/>
      <c r="E45" s="66"/>
      <c r="F45" s="66"/>
      <c r="G45" s="66"/>
      <c r="H45" s="66"/>
      <c r="I45" s="78"/>
      <c r="J45" s="78"/>
      <c r="K45" s="78"/>
      <c r="L45" s="78"/>
      <c r="M45" s="170"/>
      <c r="N45" s="171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81"/>
    </row>
    <row r="46">
      <c r="A46" s="81"/>
      <c r="B46" s="98"/>
      <c r="C46" s="66"/>
      <c r="D46" s="66"/>
      <c r="E46" s="66"/>
      <c r="F46" s="66"/>
      <c r="G46" s="66"/>
      <c r="H46" s="66"/>
      <c r="I46" s="78"/>
      <c r="J46" s="78"/>
      <c r="K46" s="78"/>
      <c r="L46" s="78"/>
      <c r="M46" s="170"/>
      <c r="N46" s="171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81"/>
    </row>
    <row r="47">
      <c r="B47" s="98"/>
      <c r="C47" s="66"/>
      <c r="D47" s="66"/>
      <c r="E47" s="66"/>
      <c r="F47" s="66"/>
      <c r="G47" s="66"/>
      <c r="H47" s="66"/>
      <c r="I47" s="66"/>
      <c r="J47" s="66"/>
      <c r="K47" s="87"/>
      <c r="L47" s="87"/>
      <c r="M47" s="167"/>
      <c r="N47" s="169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</row>
    <row r="48">
      <c r="B48" s="77"/>
      <c r="C48" s="66"/>
      <c r="D48" s="66"/>
      <c r="E48" s="66"/>
      <c r="F48" s="66"/>
      <c r="G48" s="66"/>
      <c r="H48" s="66"/>
      <c r="I48" s="78"/>
      <c r="J48" s="78"/>
      <c r="K48" s="46"/>
      <c r="L48" s="46"/>
      <c r="M48" s="167"/>
      <c r="N48" s="169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</row>
    <row r="49">
      <c r="B49" s="77"/>
      <c r="C49" s="66"/>
      <c r="D49" s="66"/>
      <c r="E49" s="66"/>
      <c r="F49" s="66"/>
      <c r="G49" s="66"/>
      <c r="H49" s="66"/>
      <c r="I49" s="78"/>
      <c r="J49" s="78"/>
      <c r="K49" s="46"/>
      <c r="L49" s="46"/>
      <c r="M49" s="167"/>
      <c r="N49" s="169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</row>
    <row r="50">
      <c r="B50" s="77"/>
      <c r="C50" s="66"/>
      <c r="D50" s="66"/>
      <c r="E50" s="66"/>
      <c r="F50" s="66"/>
      <c r="G50" s="66"/>
      <c r="H50" s="66"/>
      <c r="I50" s="78"/>
      <c r="J50" s="78"/>
      <c r="K50" s="46"/>
      <c r="L50" s="46"/>
      <c r="M50" s="167"/>
      <c r="N50" s="169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</row>
    <row r="51">
      <c r="B51" s="77"/>
      <c r="C51" s="66"/>
      <c r="D51" s="66"/>
      <c r="E51" s="66"/>
      <c r="F51" s="66"/>
      <c r="G51" s="66"/>
      <c r="H51" s="66"/>
      <c r="I51" s="78"/>
      <c r="J51" s="78"/>
      <c r="K51" s="46"/>
      <c r="L51" s="46"/>
      <c r="M51" s="167"/>
      <c r="N51" s="169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</row>
    <row r="52">
      <c r="B52" s="66"/>
      <c r="C52" s="66"/>
      <c r="D52" s="66"/>
      <c r="E52" s="66"/>
      <c r="F52" s="66"/>
      <c r="G52" s="66"/>
      <c r="H52" s="66"/>
      <c r="I52" s="66"/>
      <c r="J52" s="66"/>
      <c r="K52" s="87"/>
      <c r="L52" s="87"/>
      <c r="M52" s="167"/>
      <c r="N52" s="169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</row>
    <row r="53">
      <c r="B53" s="81"/>
      <c r="C53" s="81"/>
      <c r="D53" s="81"/>
      <c r="E53" s="81"/>
      <c r="F53" s="81"/>
      <c r="G53" s="81"/>
      <c r="H53" s="81"/>
      <c r="I53" s="81"/>
      <c r="J53" s="81"/>
      <c r="M53" s="167"/>
      <c r="N53" s="169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</row>
    <row r="54">
      <c r="M54" s="167"/>
      <c r="N54" s="169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</row>
    <row r="55">
      <c r="M55" s="167"/>
      <c r="N55" s="169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</row>
    <row r="56">
      <c r="M56" s="167"/>
      <c r="N56" s="169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</row>
    <row r="57">
      <c r="M57" s="167"/>
      <c r="N57" s="169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</row>
    <row r="58">
      <c r="M58" s="167"/>
      <c r="N58" s="169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</row>
    <row r="59">
      <c r="M59" s="167"/>
      <c r="N59" s="169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</row>
    <row r="60">
      <c r="M60" s="167"/>
      <c r="N60" s="169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</row>
    <row r="61">
      <c r="M61" s="167"/>
      <c r="N61" s="169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</row>
    <row r="62">
      <c r="M62" s="167"/>
      <c r="N62" s="169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</row>
    <row r="63">
      <c r="M63" s="167"/>
      <c r="N63" s="169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</row>
    <row r="64">
      <c r="M64" s="167"/>
      <c r="N64" s="169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</row>
    <row r="65">
      <c r="M65" s="167"/>
      <c r="N65" s="169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</row>
    <row r="66">
      <c r="M66" s="167"/>
      <c r="N66" s="169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</row>
    <row r="67">
      <c r="M67" s="167"/>
      <c r="N67" s="169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</row>
    <row r="68">
      <c r="M68" s="167"/>
      <c r="N68" s="169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</row>
    <row r="69">
      <c r="M69" s="167"/>
      <c r="N69" s="169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</row>
    <row r="70">
      <c r="M70" s="167"/>
      <c r="N70" s="169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</row>
    <row r="71">
      <c r="M71" s="167"/>
      <c r="N71" s="169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</row>
    <row r="72">
      <c r="M72" s="167"/>
      <c r="N72" s="169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</row>
    <row r="73">
      <c r="M73" s="167"/>
      <c r="N73" s="169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</row>
    <row r="74">
      <c r="M74" s="167"/>
      <c r="N74" s="169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</row>
    <row r="75">
      <c r="M75" s="167"/>
      <c r="N75" s="169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</row>
    <row r="76">
      <c r="M76" s="167"/>
      <c r="N76" s="169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</row>
    <row r="77">
      <c r="M77" s="167"/>
      <c r="N77" s="169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</row>
    <row r="78">
      <c r="M78" s="167"/>
      <c r="N78" s="169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</row>
    <row r="79">
      <c r="M79" s="167"/>
      <c r="N79" s="169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</row>
    <row r="80">
      <c r="M80" s="167"/>
      <c r="N80" s="169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</row>
    <row r="81">
      <c r="M81" s="167"/>
      <c r="N81" s="169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</row>
    <row r="82">
      <c r="M82" s="167"/>
      <c r="N82" s="169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</row>
    <row r="83">
      <c r="M83" s="167"/>
      <c r="N83" s="169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</row>
    <row r="84">
      <c r="M84" s="167"/>
      <c r="N84" s="169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>
      <c r="M85" s="167"/>
      <c r="N85" s="169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</row>
    <row r="86">
      <c r="M86" s="167"/>
      <c r="N86" s="169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</row>
    <row r="87">
      <c r="M87" s="167"/>
      <c r="N87" s="169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</row>
    <row r="88">
      <c r="M88" s="167"/>
      <c r="N88" s="169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</row>
    <row r="89">
      <c r="M89" s="167"/>
      <c r="N89" s="169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</row>
    <row r="90">
      <c r="M90" s="167"/>
      <c r="N90" s="169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</row>
    <row r="91">
      <c r="M91" s="167"/>
      <c r="N91" s="169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</row>
    <row r="92">
      <c r="M92" s="167"/>
      <c r="N92" s="169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</row>
    <row r="93">
      <c r="M93" s="167"/>
      <c r="N93" s="169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</row>
    <row r="94">
      <c r="M94" s="167"/>
      <c r="N94" s="169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</row>
    <row r="95">
      <c r="M95" s="167"/>
      <c r="N95" s="169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</row>
    <row r="96">
      <c r="M96" s="167"/>
      <c r="N96" s="169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</row>
    <row r="97">
      <c r="M97" s="167"/>
      <c r="N97" s="169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</row>
    <row r="98">
      <c r="M98" s="167"/>
      <c r="N98" s="169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</row>
    <row r="99">
      <c r="M99" s="167"/>
      <c r="N99" s="169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</row>
    <row r="100">
      <c r="M100" s="167"/>
      <c r="N100" s="169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</row>
    <row r="101">
      <c r="M101" s="167"/>
      <c r="N101" s="169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</row>
    <row r="102">
      <c r="M102" s="167"/>
      <c r="N102" s="169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</row>
    <row r="103">
      <c r="M103" s="167"/>
      <c r="N103" s="169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</row>
    <row r="104">
      <c r="M104" s="167"/>
      <c r="N104" s="169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</row>
    <row r="105">
      <c r="M105" s="167"/>
      <c r="N105" s="169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</row>
    <row r="106">
      <c r="M106" s="167"/>
      <c r="N106" s="169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</row>
    <row r="107">
      <c r="M107" s="167"/>
      <c r="N107" s="169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</row>
    <row r="108">
      <c r="M108" s="167"/>
      <c r="N108" s="169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</row>
    <row r="109">
      <c r="M109" s="167"/>
      <c r="N109" s="169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</row>
    <row r="110">
      <c r="M110" s="167"/>
      <c r="N110" s="169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</row>
    <row r="111">
      <c r="M111" s="167"/>
      <c r="N111" s="169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</row>
    <row r="112">
      <c r="M112" s="167"/>
      <c r="N112" s="169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</row>
    <row r="113">
      <c r="M113" s="167"/>
      <c r="N113" s="169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</row>
    <row r="114">
      <c r="M114" s="167"/>
      <c r="N114" s="169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</row>
    <row r="115">
      <c r="M115" s="167"/>
      <c r="N115" s="169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</row>
    <row r="116">
      <c r="M116" s="167"/>
      <c r="N116" s="169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</row>
    <row r="117">
      <c r="M117" s="167"/>
      <c r="N117" s="169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</row>
    <row r="118">
      <c r="M118" s="167"/>
      <c r="N118" s="169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</row>
    <row r="119">
      <c r="M119" s="167"/>
      <c r="N119" s="169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</row>
    <row r="120">
      <c r="M120" s="167"/>
      <c r="N120" s="169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</row>
    <row r="121">
      <c r="M121" s="167"/>
      <c r="N121" s="169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</row>
    <row r="122">
      <c r="M122" s="167"/>
      <c r="N122" s="169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</row>
    <row r="123">
      <c r="M123" s="167"/>
      <c r="N123" s="169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</row>
    <row r="124">
      <c r="M124" s="167"/>
      <c r="N124" s="169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</row>
    <row r="125">
      <c r="M125" s="167"/>
      <c r="N125" s="169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</row>
    <row r="126">
      <c r="M126" s="167"/>
      <c r="N126" s="169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</row>
    <row r="127">
      <c r="M127" s="167"/>
      <c r="N127" s="169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</row>
    <row r="128">
      <c r="M128" s="167"/>
      <c r="N128" s="169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</row>
    <row r="129">
      <c r="M129" s="167"/>
      <c r="N129" s="169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</row>
    <row r="130">
      <c r="M130" s="167"/>
      <c r="N130" s="169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</row>
    <row r="131">
      <c r="M131" s="167"/>
      <c r="N131" s="169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</row>
    <row r="132">
      <c r="M132" s="167"/>
      <c r="N132" s="169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</row>
    <row r="133">
      <c r="M133" s="167"/>
      <c r="N133" s="169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</row>
    <row r="134">
      <c r="M134" s="167"/>
      <c r="N134" s="169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</row>
    <row r="135">
      <c r="M135" s="167"/>
      <c r="N135" s="169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</row>
    <row r="136">
      <c r="M136" s="167"/>
      <c r="N136" s="169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</row>
    <row r="137">
      <c r="M137" s="167"/>
      <c r="N137" s="169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</row>
    <row r="138">
      <c r="M138" s="167"/>
      <c r="N138" s="169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</row>
    <row r="139">
      <c r="M139" s="167"/>
      <c r="N139" s="169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</row>
    <row r="140">
      <c r="M140" s="167"/>
      <c r="N140" s="169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</row>
    <row r="141">
      <c r="M141" s="167"/>
      <c r="N141" s="169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</row>
    <row r="142">
      <c r="M142" s="167"/>
      <c r="N142" s="169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</row>
    <row r="143">
      <c r="M143" s="167"/>
      <c r="N143" s="169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</row>
    <row r="144">
      <c r="M144" s="167"/>
      <c r="N144" s="169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</row>
    <row r="145">
      <c r="M145" s="167"/>
      <c r="N145" s="169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</row>
    <row r="146">
      <c r="M146" s="167"/>
      <c r="N146" s="169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</row>
    <row r="147">
      <c r="M147" s="167"/>
      <c r="N147" s="169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</row>
    <row r="148">
      <c r="M148" s="167"/>
      <c r="N148" s="169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</row>
    <row r="149">
      <c r="M149" s="167"/>
      <c r="N149" s="169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</row>
    <row r="150">
      <c r="M150" s="167"/>
      <c r="N150" s="169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</row>
    <row r="151">
      <c r="M151" s="167"/>
      <c r="N151" s="169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</row>
    <row r="152">
      <c r="M152" s="167"/>
      <c r="N152" s="169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</row>
    <row r="153">
      <c r="M153" s="167"/>
      <c r="N153" s="169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</row>
    <row r="154">
      <c r="M154" s="167"/>
      <c r="N154" s="169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</row>
    <row r="155">
      <c r="M155" s="167"/>
      <c r="N155" s="169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</row>
    <row r="156">
      <c r="M156" s="167"/>
      <c r="N156" s="169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</row>
    <row r="157">
      <c r="M157" s="167"/>
      <c r="N157" s="169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</row>
    <row r="158">
      <c r="M158" s="167"/>
      <c r="N158" s="169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</row>
    <row r="159">
      <c r="M159" s="167"/>
      <c r="N159" s="169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</row>
    <row r="160">
      <c r="M160" s="167"/>
      <c r="N160" s="169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</row>
    <row r="161">
      <c r="M161" s="167"/>
      <c r="N161" s="169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</row>
    <row r="162">
      <c r="M162" s="167"/>
      <c r="N162" s="169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</row>
    <row r="163">
      <c r="M163" s="167"/>
      <c r="N163" s="169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</row>
    <row r="164">
      <c r="M164" s="167"/>
      <c r="N164" s="169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</row>
    <row r="165">
      <c r="M165" s="167"/>
      <c r="N165" s="169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</row>
    <row r="166">
      <c r="M166" s="167"/>
      <c r="N166" s="169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</row>
    <row r="167">
      <c r="M167" s="167"/>
      <c r="N167" s="169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</row>
    <row r="168">
      <c r="M168" s="167"/>
      <c r="N168" s="169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</row>
    <row r="169">
      <c r="M169" s="167"/>
      <c r="N169" s="169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</row>
    <row r="170">
      <c r="M170" s="167"/>
      <c r="N170" s="169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</row>
    <row r="171">
      <c r="M171" s="167"/>
      <c r="N171" s="169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</row>
    <row r="172">
      <c r="M172" s="167"/>
      <c r="N172" s="169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</row>
    <row r="173">
      <c r="M173" s="167"/>
      <c r="N173" s="169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</row>
    <row r="174">
      <c r="M174" s="167"/>
      <c r="N174" s="169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</row>
    <row r="175">
      <c r="M175" s="167"/>
      <c r="N175" s="169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</row>
    <row r="176">
      <c r="M176" s="167"/>
      <c r="N176" s="169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</row>
    <row r="177">
      <c r="M177" s="167"/>
      <c r="N177" s="169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</row>
    <row r="178">
      <c r="M178" s="167"/>
      <c r="N178" s="169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</row>
    <row r="179">
      <c r="M179" s="167"/>
      <c r="N179" s="169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</row>
    <row r="180">
      <c r="M180" s="167"/>
      <c r="N180" s="169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</row>
    <row r="181">
      <c r="M181" s="167"/>
      <c r="N181" s="169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</row>
    <row r="182">
      <c r="M182" s="167"/>
      <c r="N182" s="169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</row>
    <row r="183">
      <c r="M183" s="167"/>
      <c r="N183" s="169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</row>
    <row r="184">
      <c r="M184" s="167"/>
      <c r="N184" s="169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</row>
    <row r="185">
      <c r="M185" s="167"/>
      <c r="N185" s="169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</row>
    <row r="186">
      <c r="M186" s="167"/>
      <c r="N186" s="169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</row>
    <row r="187">
      <c r="M187" s="167"/>
      <c r="N187" s="169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</row>
    <row r="188">
      <c r="M188" s="167"/>
      <c r="N188" s="169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</row>
    <row r="189">
      <c r="M189" s="167"/>
      <c r="N189" s="169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</row>
    <row r="190">
      <c r="M190" s="167"/>
      <c r="N190" s="169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</row>
    <row r="191">
      <c r="M191" s="167"/>
      <c r="N191" s="169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</row>
    <row r="192">
      <c r="M192" s="167"/>
      <c r="N192" s="169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</row>
    <row r="193">
      <c r="M193" s="167"/>
      <c r="N193" s="169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</row>
    <row r="194">
      <c r="M194" s="167"/>
      <c r="N194" s="169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</row>
    <row r="195">
      <c r="M195" s="167"/>
      <c r="N195" s="169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</row>
    <row r="196">
      <c r="M196" s="167"/>
      <c r="N196" s="169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</row>
    <row r="197">
      <c r="M197" s="167"/>
      <c r="N197" s="169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</row>
    <row r="198">
      <c r="M198" s="167"/>
      <c r="N198" s="169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</row>
    <row r="199">
      <c r="M199" s="167"/>
      <c r="N199" s="169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</row>
    <row r="200">
      <c r="M200" s="167"/>
      <c r="N200" s="169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</row>
    <row r="201">
      <c r="M201" s="167"/>
      <c r="N201" s="169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</row>
    <row r="202">
      <c r="M202" s="167"/>
      <c r="N202" s="169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</row>
    <row r="203">
      <c r="M203" s="167"/>
      <c r="N203" s="169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</row>
    <row r="204">
      <c r="M204" s="167"/>
      <c r="N204" s="169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</row>
    <row r="205">
      <c r="M205" s="167"/>
      <c r="N205" s="169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</row>
    <row r="206">
      <c r="M206" s="167"/>
      <c r="N206" s="169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</row>
    <row r="207">
      <c r="M207" s="167"/>
      <c r="N207" s="169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</row>
    <row r="208">
      <c r="M208" s="167"/>
      <c r="N208" s="169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</row>
    <row r="209">
      <c r="M209" s="167"/>
      <c r="N209" s="169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</row>
    <row r="210">
      <c r="M210" s="167"/>
      <c r="N210" s="169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</row>
    <row r="211">
      <c r="M211" s="167"/>
      <c r="N211" s="169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</row>
    <row r="212">
      <c r="M212" s="167"/>
      <c r="N212" s="169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</row>
    <row r="213">
      <c r="M213" s="167"/>
      <c r="N213" s="169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</row>
    <row r="214">
      <c r="M214" s="167"/>
      <c r="N214" s="169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</row>
    <row r="215">
      <c r="M215" s="167"/>
      <c r="N215" s="169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</row>
    <row r="216">
      <c r="M216" s="167"/>
      <c r="N216" s="169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</row>
    <row r="217">
      <c r="M217" s="167"/>
      <c r="N217" s="169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</row>
    <row r="218">
      <c r="M218" s="167"/>
      <c r="N218" s="169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</row>
    <row r="219">
      <c r="M219" s="167"/>
      <c r="N219" s="169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</row>
    <row r="220">
      <c r="M220" s="167"/>
      <c r="N220" s="169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</row>
    <row r="221">
      <c r="M221" s="167"/>
      <c r="N221" s="169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</row>
    <row r="222">
      <c r="M222" s="167"/>
      <c r="N222" s="169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</row>
    <row r="223">
      <c r="M223" s="167"/>
      <c r="N223" s="169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</row>
    <row r="224">
      <c r="M224" s="167"/>
      <c r="N224" s="169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</row>
    <row r="225">
      <c r="M225" s="167"/>
      <c r="N225" s="169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</row>
    <row r="226">
      <c r="M226" s="167"/>
      <c r="N226" s="169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</row>
    <row r="227">
      <c r="M227" s="167"/>
      <c r="N227" s="169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</row>
    <row r="228">
      <c r="M228" s="167"/>
      <c r="N228" s="169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</row>
    <row r="229">
      <c r="M229" s="167"/>
      <c r="N229" s="169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</row>
    <row r="230">
      <c r="M230" s="167"/>
      <c r="N230" s="169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</row>
    <row r="231">
      <c r="M231" s="167"/>
      <c r="N231" s="169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</row>
    <row r="232">
      <c r="M232" s="167"/>
      <c r="N232" s="169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</row>
    <row r="233">
      <c r="M233" s="167"/>
      <c r="N233" s="169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</row>
    <row r="234">
      <c r="M234" s="167"/>
      <c r="N234" s="169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</row>
    <row r="235">
      <c r="M235" s="167"/>
      <c r="N235" s="169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</row>
    <row r="236">
      <c r="M236" s="167"/>
      <c r="N236" s="169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</row>
    <row r="237">
      <c r="M237" s="167"/>
      <c r="N237" s="169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</row>
    <row r="238">
      <c r="M238" s="167"/>
      <c r="N238" s="169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</row>
    <row r="239">
      <c r="M239" s="167"/>
      <c r="N239" s="169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</row>
    <row r="240">
      <c r="M240" s="167"/>
      <c r="N240" s="169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</row>
    <row r="241">
      <c r="M241" s="167"/>
      <c r="N241" s="169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</row>
    <row r="242">
      <c r="M242" s="167"/>
      <c r="N242" s="169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</row>
    <row r="243">
      <c r="M243" s="167"/>
      <c r="N243" s="169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</row>
    <row r="244">
      <c r="M244" s="167"/>
      <c r="N244" s="169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</row>
    <row r="245">
      <c r="M245" s="167"/>
      <c r="N245" s="169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</row>
    <row r="246">
      <c r="M246" s="167"/>
      <c r="N246" s="169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</row>
    <row r="247">
      <c r="M247" s="167"/>
      <c r="N247" s="169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</row>
    <row r="248">
      <c r="M248" s="167"/>
      <c r="N248" s="169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</row>
    <row r="249">
      <c r="M249" s="167"/>
      <c r="N249" s="169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</row>
    <row r="250">
      <c r="M250" s="167"/>
      <c r="N250" s="169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</row>
    <row r="251">
      <c r="M251" s="167"/>
      <c r="N251" s="169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</row>
    <row r="252">
      <c r="M252" s="167"/>
      <c r="N252" s="169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</row>
    <row r="253">
      <c r="M253" s="167"/>
      <c r="N253" s="169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</row>
    <row r="254">
      <c r="M254" s="167"/>
      <c r="N254" s="169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</row>
    <row r="255">
      <c r="M255" s="167"/>
      <c r="N255" s="169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</row>
    <row r="256">
      <c r="M256" s="167"/>
      <c r="N256" s="169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</row>
    <row r="257">
      <c r="M257" s="167"/>
      <c r="N257" s="169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</row>
    <row r="258">
      <c r="M258" s="167"/>
      <c r="N258" s="169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</row>
    <row r="259">
      <c r="M259" s="167"/>
      <c r="N259" s="169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</row>
    <row r="260">
      <c r="M260" s="167"/>
      <c r="N260" s="169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</row>
    <row r="261">
      <c r="M261" s="167"/>
      <c r="N261" s="169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</row>
    <row r="262">
      <c r="M262" s="167"/>
      <c r="N262" s="169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</row>
    <row r="263">
      <c r="M263" s="167"/>
      <c r="N263" s="169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</row>
    <row r="264">
      <c r="M264" s="167"/>
      <c r="N264" s="169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</row>
    <row r="265">
      <c r="M265" s="167"/>
      <c r="N265" s="169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</row>
    <row r="266">
      <c r="M266" s="167"/>
      <c r="N266" s="169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</row>
    <row r="267">
      <c r="M267" s="167"/>
      <c r="N267" s="169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</row>
    <row r="268">
      <c r="M268" s="167"/>
      <c r="N268" s="169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</row>
    <row r="269">
      <c r="M269" s="167"/>
      <c r="N269" s="169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</row>
    <row r="270">
      <c r="M270" s="167"/>
      <c r="N270" s="169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</row>
    <row r="271">
      <c r="M271" s="167"/>
      <c r="N271" s="169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</row>
    <row r="272">
      <c r="M272" s="167"/>
      <c r="N272" s="169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</row>
    <row r="273">
      <c r="M273" s="167"/>
      <c r="N273" s="169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</row>
    <row r="274">
      <c r="M274" s="167"/>
      <c r="N274" s="169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</row>
    <row r="275">
      <c r="M275" s="167"/>
      <c r="N275" s="169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</row>
    <row r="276">
      <c r="M276" s="167"/>
      <c r="N276" s="169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</row>
    <row r="277">
      <c r="M277" s="167"/>
      <c r="N277" s="169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</row>
    <row r="278">
      <c r="M278" s="167"/>
      <c r="N278" s="169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</row>
    <row r="279">
      <c r="M279" s="167"/>
      <c r="N279" s="169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</row>
    <row r="280">
      <c r="M280" s="167"/>
      <c r="N280" s="169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</row>
    <row r="281">
      <c r="M281" s="167"/>
      <c r="N281" s="169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</row>
    <row r="282">
      <c r="M282" s="167"/>
      <c r="N282" s="169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</row>
    <row r="283">
      <c r="M283" s="167"/>
      <c r="N283" s="169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</row>
    <row r="284">
      <c r="M284" s="167"/>
      <c r="N284" s="169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</row>
    <row r="285">
      <c r="M285" s="167"/>
      <c r="N285" s="169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</row>
    <row r="286">
      <c r="M286" s="167"/>
      <c r="N286" s="169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</row>
    <row r="287">
      <c r="M287" s="167"/>
      <c r="N287" s="169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</row>
    <row r="288">
      <c r="M288" s="167"/>
      <c r="N288" s="169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</row>
    <row r="289">
      <c r="M289" s="167"/>
      <c r="N289" s="169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</row>
    <row r="290">
      <c r="M290" s="167"/>
      <c r="N290" s="169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</row>
    <row r="291">
      <c r="M291" s="167"/>
      <c r="N291" s="169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</row>
    <row r="292">
      <c r="M292" s="167"/>
      <c r="N292" s="169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</row>
    <row r="293">
      <c r="M293" s="167"/>
      <c r="N293" s="169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</row>
    <row r="294">
      <c r="M294" s="167"/>
      <c r="N294" s="169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</row>
    <row r="295">
      <c r="M295" s="167"/>
      <c r="N295" s="169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</row>
    <row r="296">
      <c r="M296" s="167"/>
      <c r="N296" s="169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</row>
    <row r="297">
      <c r="M297" s="167"/>
      <c r="N297" s="169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</row>
    <row r="298">
      <c r="M298" s="167"/>
      <c r="N298" s="169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</row>
    <row r="299">
      <c r="M299" s="167"/>
      <c r="N299" s="169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</row>
    <row r="300">
      <c r="M300" s="167"/>
      <c r="N300" s="169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</row>
    <row r="301">
      <c r="M301" s="167"/>
      <c r="N301" s="169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</row>
    <row r="302">
      <c r="M302" s="167"/>
      <c r="N302" s="169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</row>
    <row r="303">
      <c r="M303" s="167"/>
      <c r="N303" s="169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</row>
    <row r="304">
      <c r="M304" s="167"/>
      <c r="N304" s="169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</row>
    <row r="305">
      <c r="M305" s="167"/>
      <c r="N305" s="169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</row>
    <row r="306">
      <c r="M306" s="167"/>
      <c r="N306" s="169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</row>
    <row r="307">
      <c r="M307" s="167"/>
      <c r="N307" s="169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</row>
    <row r="308">
      <c r="M308" s="167"/>
      <c r="N308" s="169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</row>
    <row r="309">
      <c r="M309" s="167"/>
      <c r="N309" s="169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</row>
    <row r="310">
      <c r="M310" s="167"/>
      <c r="N310" s="169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</row>
    <row r="311">
      <c r="M311" s="167"/>
      <c r="N311" s="169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</row>
    <row r="312">
      <c r="M312" s="167"/>
      <c r="N312" s="169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</row>
    <row r="313">
      <c r="M313" s="167"/>
      <c r="N313" s="169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</row>
    <row r="314">
      <c r="M314" s="167"/>
      <c r="N314" s="169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</row>
    <row r="315">
      <c r="M315" s="167"/>
      <c r="N315" s="169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</row>
    <row r="316">
      <c r="M316" s="167"/>
      <c r="N316" s="169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</row>
    <row r="317">
      <c r="M317" s="167"/>
      <c r="N317" s="169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</row>
    <row r="318">
      <c r="M318" s="167"/>
      <c r="N318" s="169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</row>
    <row r="319">
      <c r="M319" s="167"/>
      <c r="N319" s="169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</row>
    <row r="320">
      <c r="M320" s="167"/>
      <c r="N320" s="169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</row>
    <row r="321">
      <c r="M321" s="167"/>
      <c r="N321" s="169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</row>
    <row r="322">
      <c r="M322" s="167"/>
      <c r="N322" s="169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</row>
    <row r="323">
      <c r="M323" s="167"/>
      <c r="N323" s="169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</row>
    <row r="324">
      <c r="M324" s="167"/>
      <c r="N324" s="169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</row>
    <row r="325">
      <c r="M325" s="167"/>
      <c r="N325" s="169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</row>
    <row r="326">
      <c r="M326" s="167"/>
      <c r="N326" s="169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</row>
    <row r="327">
      <c r="M327" s="167"/>
      <c r="N327" s="169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</row>
    <row r="328">
      <c r="M328" s="167"/>
      <c r="N328" s="169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</row>
    <row r="329">
      <c r="M329" s="167"/>
      <c r="N329" s="169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</row>
    <row r="330">
      <c r="M330" s="167"/>
      <c r="N330" s="169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</row>
    <row r="331">
      <c r="M331" s="167"/>
      <c r="N331" s="169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</row>
    <row r="332">
      <c r="M332" s="167"/>
      <c r="N332" s="169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</row>
    <row r="333">
      <c r="M333" s="167"/>
      <c r="N333" s="169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</row>
    <row r="334">
      <c r="M334" s="167"/>
      <c r="N334" s="169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</row>
    <row r="335">
      <c r="M335" s="167"/>
      <c r="N335" s="169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</row>
    <row r="336">
      <c r="M336" s="167"/>
      <c r="N336" s="169"/>
      <c r="O336" s="42"/>
      <c r="P336" s="42"/>
    </row>
    <row r="337">
      <c r="M337" s="167"/>
      <c r="N337" s="169"/>
      <c r="O337" s="42"/>
      <c r="P337" s="42"/>
    </row>
    <row r="338">
      <c r="M338" s="167"/>
      <c r="N338" s="169"/>
      <c r="O338" s="42"/>
      <c r="P338" s="42"/>
    </row>
    <row r="339">
      <c r="M339" s="167"/>
      <c r="N339" s="169"/>
      <c r="O339" s="42"/>
      <c r="P339" s="42"/>
    </row>
    <row r="340">
      <c r="M340" s="167"/>
      <c r="N340" s="169"/>
      <c r="O340" s="42"/>
      <c r="P340" s="42"/>
    </row>
    <row r="341">
      <c r="M341" s="167"/>
      <c r="N341" s="169"/>
      <c r="O341" s="42"/>
      <c r="P341" s="42"/>
    </row>
    <row r="342">
      <c r="M342" s="167"/>
      <c r="N342" s="169"/>
      <c r="O342" s="42"/>
      <c r="P342" s="42"/>
    </row>
    <row r="343">
      <c r="M343" s="167"/>
      <c r="N343" s="169"/>
      <c r="O343" s="42"/>
      <c r="P343" s="42"/>
    </row>
    <row r="344">
      <c r="M344" s="167"/>
      <c r="N344" s="169"/>
      <c r="O344" s="42"/>
      <c r="P344" s="42"/>
    </row>
    <row r="345">
      <c r="M345" s="167"/>
      <c r="N345" s="169"/>
      <c r="O345" s="42"/>
      <c r="P345" s="42"/>
    </row>
    <row r="346">
      <c r="M346" s="167"/>
      <c r="N346" s="169"/>
      <c r="O346" s="42"/>
      <c r="P346" s="42"/>
    </row>
    <row r="347">
      <c r="M347" s="167"/>
      <c r="N347" s="169"/>
      <c r="O347" s="42"/>
      <c r="P347" s="42"/>
    </row>
    <row r="348">
      <c r="M348" s="167"/>
      <c r="N348" s="169"/>
      <c r="O348" s="42"/>
      <c r="P348" s="42"/>
    </row>
    <row r="349">
      <c r="M349" s="167"/>
      <c r="N349" s="169"/>
      <c r="O349" s="42"/>
      <c r="P349" s="42"/>
    </row>
    <row r="350">
      <c r="M350" s="167"/>
      <c r="N350" s="169"/>
      <c r="O350" s="42"/>
      <c r="P350" s="42"/>
    </row>
    <row r="351">
      <c r="M351" s="167"/>
      <c r="N351" s="169"/>
      <c r="O351" s="42"/>
      <c r="P351" s="42"/>
    </row>
    <row r="352">
      <c r="M352" s="167"/>
      <c r="N352" s="169"/>
      <c r="O352" s="42"/>
      <c r="P352" s="42"/>
    </row>
    <row r="353">
      <c r="M353" s="167"/>
      <c r="N353" s="169"/>
      <c r="O353" s="42"/>
      <c r="P353" s="42"/>
    </row>
    <row r="354">
      <c r="M354" s="167"/>
      <c r="N354" s="169"/>
      <c r="O354" s="42"/>
      <c r="P354" s="42"/>
    </row>
    <row r="355">
      <c r="M355" s="167"/>
      <c r="N355" s="169"/>
      <c r="O355" s="42"/>
      <c r="P355" s="42"/>
    </row>
    <row r="356">
      <c r="M356" s="167"/>
      <c r="N356" s="169"/>
      <c r="O356" s="42"/>
      <c r="P356" s="42"/>
    </row>
    <row r="357">
      <c r="M357" s="167"/>
      <c r="N357" s="169"/>
      <c r="O357" s="42"/>
      <c r="P357" s="42"/>
    </row>
    <row r="358">
      <c r="M358" s="167"/>
      <c r="N358" s="169"/>
      <c r="O358" s="42"/>
      <c r="P358" s="42"/>
    </row>
    <row r="359">
      <c r="M359" s="167"/>
      <c r="N359" s="169"/>
      <c r="O359" s="42"/>
      <c r="P359" s="42"/>
    </row>
    <row r="360">
      <c r="M360" s="167"/>
      <c r="N360" s="169"/>
      <c r="O360" s="42"/>
      <c r="P360" s="42"/>
    </row>
    <row r="361">
      <c r="M361" s="167"/>
      <c r="N361" s="169"/>
      <c r="O361" s="42"/>
      <c r="P361" s="42"/>
    </row>
    <row r="362">
      <c r="M362" s="167"/>
      <c r="N362" s="169"/>
      <c r="O362" s="42"/>
      <c r="P362" s="42"/>
    </row>
    <row r="363">
      <c r="M363" s="167"/>
      <c r="N363" s="169"/>
      <c r="O363" s="42"/>
      <c r="P363" s="42"/>
    </row>
    <row r="364">
      <c r="M364" s="167"/>
      <c r="N364" s="169"/>
      <c r="O364" s="42"/>
      <c r="P364" s="42"/>
    </row>
    <row r="365">
      <c r="M365" s="167"/>
      <c r="N365" s="169"/>
      <c r="O365" s="42"/>
      <c r="P365" s="42"/>
    </row>
    <row r="366">
      <c r="M366" s="167"/>
      <c r="N366" s="169"/>
      <c r="O366" s="42"/>
      <c r="P366" s="42"/>
    </row>
    <row r="367">
      <c r="M367" s="167"/>
      <c r="N367" s="169"/>
      <c r="O367" s="42"/>
      <c r="P367" s="42"/>
    </row>
    <row r="368">
      <c r="M368" s="167"/>
      <c r="N368" s="169"/>
      <c r="O368" s="42"/>
      <c r="P368" s="42"/>
    </row>
    <row r="369">
      <c r="M369" s="167"/>
      <c r="N369" s="169"/>
      <c r="O369" s="42"/>
      <c r="P369" s="42"/>
    </row>
    <row r="370">
      <c r="M370" s="167"/>
      <c r="N370" s="169"/>
      <c r="O370" s="42"/>
      <c r="P370" s="42"/>
    </row>
    <row r="371">
      <c r="M371" s="167"/>
      <c r="N371" s="169"/>
      <c r="O371" s="42"/>
      <c r="P371" s="42"/>
    </row>
    <row r="372">
      <c r="M372" s="167"/>
      <c r="N372" s="169"/>
      <c r="O372" s="42"/>
      <c r="P372" s="42"/>
    </row>
    <row r="373">
      <c r="M373" s="167"/>
      <c r="N373" s="169"/>
      <c r="O373" s="42"/>
      <c r="P373" s="42"/>
    </row>
    <row r="374">
      <c r="M374" s="167"/>
      <c r="N374" s="169"/>
      <c r="O374" s="42"/>
      <c r="P374" s="42"/>
    </row>
    <row r="375">
      <c r="M375" s="167"/>
      <c r="N375" s="169"/>
      <c r="O375" s="42"/>
      <c r="P375" s="42"/>
    </row>
    <row r="376">
      <c r="M376" s="167"/>
      <c r="N376" s="169"/>
      <c r="O376" s="42"/>
      <c r="P376" s="42"/>
    </row>
    <row r="377">
      <c r="M377" s="167"/>
      <c r="N377" s="169"/>
      <c r="O377" s="42"/>
      <c r="P377" s="42"/>
    </row>
    <row r="378">
      <c r="M378" s="167"/>
      <c r="N378" s="169"/>
      <c r="O378" s="42"/>
      <c r="P378" s="42"/>
    </row>
    <row r="379">
      <c r="M379" s="167"/>
      <c r="N379" s="169"/>
      <c r="O379" s="42"/>
      <c r="P379" s="42"/>
    </row>
    <row r="380">
      <c r="M380" s="167"/>
      <c r="N380" s="169"/>
      <c r="O380" s="42"/>
      <c r="P380" s="42"/>
    </row>
    <row r="381">
      <c r="M381" s="167"/>
      <c r="N381" s="169"/>
      <c r="O381" s="42"/>
      <c r="P381" s="42"/>
    </row>
    <row r="382">
      <c r="M382" s="167"/>
      <c r="N382" s="169"/>
      <c r="O382" s="42"/>
      <c r="P382" s="42"/>
    </row>
    <row r="383">
      <c r="M383" s="167"/>
      <c r="N383" s="169"/>
      <c r="O383" s="42"/>
      <c r="P383" s="42"/>
    </row>
    <row r="384">
      <c r="M384" s="167"/>
      <c r="N384" s="169"/>
      <c r="O384" s="42"/>
      <c r="P384" s="42"/>
    </row>
    <row r="385">
      <c r="M385" s="167"/>
      <c r="N385" s="169"/>
      <c r="O385" s="42"/>
      <c r="P385" s="42"/>
    </row>
    <row r="386">
      <c r="M386" s="167"/>
      <c r="N386" s="169"/>
      <c r="O386" s="42"/>
      <c r="P386" s="42"/>
    </row>
    <row r="387">
      <c r="M387" s="167"/>
      <c r="N387" s="169"/>
      <c r="O387" s="42"/>
      <c r="P387" s="42"/>
    </row>
    <row r="388">
      <c r="M388" s="167"/>
      <c r="N388" s="169"/>
      <c r="O388" s="42"/>
      <c r="P388" s="42"/>
    </row>
    <row r="389">
      <c r="M389" s="167"/>
      <c r="N389" s="169"/>
      <c r="O389" s="42"/>
      <c r="P389" s="42"/>
    </row>
    <row r="390">
      <c r="M390" s="167"/>
      <c r="N390" s="169"/>
      <c r="O390" s="42"/>
      <c r="P390" s="42"/>
    </row>
    <row r="391">
      <c r="M391" s="167"/>
      <c r="N391" s="169"/>
      <c r="O391" s="42"/>
      <c r="P391" s="42"/>
    </row>
    <row r="392">
      <c r="M392" s="167"/>
      <c r="N392" s="169"/>
      <c r="O392" s="42"/>
      <c r="P392" s="42"/>
    </row>
    <row r="393">
      <c r="M393" s="167"/>
      <c r="N393" s="169"/>
      <c r="O393" s="42"/>
      <c r="P393" s="42"/>
    </row>
    <row r="394">
      <c r="M394" s="167"/>
      <c r="N394" s="169"/>
      <c r="O394" s="42"/>
      <c r="P394" s="42"/>
    </row>
    <row r="395">
      <c r="M395" s="167"/>
      <c r="N395" s="169"/>
      <c r="O395" s="42"/>
      <c r="P395" s="42"/>
    </row>
    <row r="396">
      <c r="M396" s="167"/>
      <c r="N396" s="169"/>
      <c r="O396" s="42"/>
      <c r="P396" s="42"/>
    </row>
    <row r="397">
      <c r="M397" s="167"/>
      <c r="N397" s="169"/>
      <c r="O397" s="42"/>
      <c r="P397" s="42"/>
    </row>
    <row r="398">
      <c r="M398" s="167"/>
      <c r="N398" s="169"/>
      <c r="O398" s="42"/>
      <c r="P398" s="42"/>
    </row>
    <row r="399">
      <c r="M399" s="167"/>
      <c r="N399" s="169"/>
      <c r="O399" s="42"/>
      <c r="P399" s="42"/>
    </row>
    <row r="400">
      <c r="M400" s="167"/>
      <c r="N400" s="169"/>
      <c r="O400" s="42"/>
      <c r="P400" s="42"/>
    </row>
    <row r="401">
      <c r="M401" s="167"/>
      <c r="N401" s="169"/>
      <c r="O401" s="42"/>
      <c r="P401" s="42"/>
    </row>
    <row r="402">
      <c r="M402" s="167"/>
      <c r="N402" s="169"/>
      <c r="O402" s="42"/>
      <c r="P402" s="42"/>
    </row>
    <row r="403">
      <c r="M403" s="167"/>
      <c r="N403" s="169"/>
      <c r="O403" s="42"/>
      <c r="P403" s="42"/>
    </row>
    <row r="404">
      <c r="M404" s="167"/>
      <c r="N404" s="169"/>
      <c r="O404" s="42"/>
      <c r="P404" s="42"/>
    </row>
    <row r="405">
      <c r="M405" s="167"/>
      <c r="N405" s="169"/>
      <c r="O405" s="42"/>
      <c r="P405" s="42"/>
    </row>
    <row r="406">
      <c r="M406" s="167"/>
      <c r="N406" s="169"/>
      <c r="O406" s="42"/>
      <c r="P406" s="42"/>
    </row>
    <row r="407">
      <c r="M407" s="167"/>
      <c r="N407" s="169"/>
      <c r="O407" s="42"/>
      <c r="P407" s="42"/>
    </row>
    <row r="408">
      <c r="M408" s="167"/>
      <c r="N408" s="169"/>
      <c r="O408" s="42"/>
      <c r="P408" s="42"/>
    </row>
    <row r="409">
      <c r="M409" s="167"/>
      <c r="N409" s="169"/>
      <c r="O409" s="42"/>
      <c r="P409" s="42"/>
    </row>
    <row r="410">
      <c r="M410" s="167"/>
      <c r="N410" s="169"/>
      <c r="O410" s="42"/>
      <c r="P410" s="42"/>
    </row>
    <row r="411">
      <c r="M411" s="172"/>
      <c r="N411" s="172"/>
    </row>
    <row r="412">
      <c r="M412" s="172"/>
      <c r="N412" s="172"/>
    </row>
    <row r="413">
      <c r="M413" s="172"/>
      <c r="N413" s="172"/>
    </row>
    <row r="414">
      <c r="M414" s="172"/>
      <c r="N414" s="172"/>
    </row>
    <row r="415">
      <c r="M415" s="172"/>
      <c r="N415" s="172"/>
    </row>
    <row r="416">
      <c r="M416" s="172"/>
      <c r="N416" s="172"/>
    </row>
    <row r="417">
      <c r="M417" s="172"/>
      <c r="N417" s="172"/>
    </row>
    <row r="418">
      <c r="M418" s="172"/>
      <c r="N418" s="172"/>
    </row>
    <row r="419">
      <c r="M419" s="172"/>
      <c r="N419" s="172"/>
    </row>
    <row r="420">
      <c r="M420" s="172"/>
      <c r="N420" s="172"/>
    </row>
    <row r="421">
      <c r="M421" s="172"/>
      <c r="N421" s="172"/>
    </row>
    <row r="422">
      <c r="M422" s="172"/>
      <c r="N422" s="172"/>
    </row>
    <row r="423">
      <c r="M423" s="172"/>
      <c r="N423" s="172"/>
    </row>
    <row r="424">
      <c r="M424" s="172"/>
      <c r="N424" s="172"/>
    </row>
    <row r="425">
      <c r="M425" s="172"/>
      <c r="N425" s="172"/>
    </row>
    <row r="426">
      <c r="M426" s="172"/>
      <c r="N426" s="172"/>
    </row>
    <row r="427">
      <c r="M427" s="172"/>
      <c r="N427" s="172"/>
    </row>
    <row r="428">
      <c r="M428" s="172"/>
      <c r="N428" s="172"/>
    </row>
    <row r="429">
      <c r="M429" s="172"/>
      <c r="N429" s="172"/>
    </row>
    <row r="430">
      <c r="M430" s="172"/>
      <c r="N430" s="172"/>
    </row>
    <row r="431">
      <c r="M431" s="172"/>
      <c r="N431" s="172"/>
    </row>
    <row r="432">
      <c r="M432" s="172"/>
      <c r="N432" s="172"/>
    </row>
    <row r="433">
      <c r="M433" s="172"/>
      <c r="N433" s="172"/>
    </row>
    <row r="434">
      <c r="M434" s="172"/>
      <c r="N434" s="172"/>
    </row>
    <row r="435">
      <c r="M435" s="172"/>
      <c r="N435" s="172"/>
    </row>
    <row r="436">
      <c r="M436" s="172"/>
      <c r="N436" s="172"/>
    </row>
    <row r="437">
      <c r="M437" s="172"/>
      <c r="N437" s="172"/>
    </row>
    <row r="438">
      <c r="M438" s="172"/>
      <c r="N438" s="172"/>
    </row>
    <row r="439">
      <c r="M439" s="172"/>
      <c r="N439" s="172"/>
    </row>
    <row r="440">
      <c r="M440" s="172"/>
      <c r="N440" s="172"/>
    </row>
    <row r="441">
      <c r="M441" s="172"/>
      <c r="N441" s="172"/>
    </row>
    <row r="442">
      <c r="M442" s="172"/>
      <c r="N442" s="172"/>
    </row>
    <row r="443">
      <c r="M443" s="172"/>
      <c r="N443" s="172"/>
    </row>
    <row r="444">
      <c r="M444" s="172"/>
      <c r="N444" s="172"/>
    </row>
    <row r="445">
      <c r="M445" s="172"/>
      <c r="N445" s="172"/>
    </row>
    <row r="446">
      <c r="M446" s="172"/>
      <c r="N446" s="172"/>
    </row>
    <row r="447">
      <c r="M447" s="172"/>
      <c r="N447" s="172"/>
    </row>
    <row r="448">
      <c r="M448" s="172"/>
      <c r="N448" s="172"/>
    </row>
    <row r="449">
      <c r="M449" s="172"/>
      <c r="N449" s="172"/>
    </row>
    <row r="450">
      <c r="M450" s="172"/>
      <c r="N450" s="172"/>
    </row>
    <row r="451">
      <c r="M451" s="172"/>
      <c r="N451" s="172"/>
    </row>
    <row r="452">
      <c r="M452" s="172"/>
      <c r="N452" s="172"/>
    </row>
    <row r="453">
      <c r="M453" s="172"/>
      <c r="N453" s="172"/>
    </row>
    <row r="454">
      <c r="M454" s="172"/>
      <c r="N454" s="172"/>
    </row>
    <row r="455">
      <c r="M455" s="172"/>
      <c r="N455" s="172"/>
    </row>
    <row r="456">
      <c r="M456" s="172"/>
      <c r="N456" s="172"/>
    </row>
    <row r="457">
      <c r="M457" s="172"/>
      <c r="N457" s="172"/>
    </row>
    <row r="458">
      <c r="M458" s="172"/>
      <c r="N458" s="172"/>
    </row>
    <row r="459">
      <c r="M459" s="172"/>
      <c r="N459" s="172"/>
    </row>
    <row r="460">
      <c r="M460" s="172"/>
      <c r="N460" s="172"/>
    </row>
    <row r="461">
      <c r="M461" s="172"/>
      <c r="N461" s="172"/>
    </row>
    <row r="462">
      <c r="M462" s="172"/>
      <c r="N462" s="172"/>
    </row>
    <row r="463">
      <c r="M463" s="172"/>
      <c r="N463" s="172"/>
    </row>
    <row r="464">
      <c r="M464" s="172"/>
      <c r="N464" s="172"/>
    </row>
    <row r="465">
      <c r="M465" s="172"/>
      <c r="N465" s="172"/>
    </row>
    <row r="466">
      <c r="M466" s="172"/>
      <c r="N466" s="172"/>
    </row>
    <row r="467">
      <c r="M467" s="172"/>
      <c r="N467" s="172"/>
    </row>
    <row r="468">
      <c r="M468" s="172"/>
      <c r="N468" s="172"/>
    </row>
    <row r="469">
      <c r="M469" s="172"/>
      <c r="N469" s="172"/>
    </row>
    <row r="470">
      <c r="M470" s="172"/>
      <c r="N470" s="172"/>
    </row>
    <row r="471">
      <c r="M471" s="172"/>
      <c r="N471" s="172"/>
    </row>
    <row r="472">
      <c r="M472" s="172"/>
      <c r="N472" s="172"/>
    </row>
    <row r="473">
      <c r="M473" s="172"/>
      <c r="N473" s="172"/>
    </row>
    <row r="474">
      <c r="M474" s="172"/>
      <c r="N474" s="172"/>
    </row>
    <row r="475">
      <c r="M475" s="172"/>
      <c r="N475" s="172"/>
    </row>
    <row r="476">
      <c r="M476" s="172"/>
      <c r="N476" s="172"/>
    </row>
    <row r="477">
      <c r="M477" s="172"/>
      <c r="N477" s="172"/>
    </row>
    <row r="478">
      <c r="M478" s="172"/>
      <c r="N478" s="172"/>
    </row>
    <row r="479">
      <c r="M479" s="172"/>
      <c r="N479" s="172"/>
    </row>
    <row r="480">
      <c r="M480" s="172"/>
      <c r="N480" s="172"/>
    </row>
    <row r="481">
      <c r="M481" s="172"/>
      <c r="N481" s="172"/>
    </row>
    <row r="482">
      <c r="M482" s="172"/>
      <c r="N482" s="172"/>
    </row>
    <row r="483">
      <c r="M483" s="172"/>
      <c r="N483" s="172"/>
    </row>
    <row r="484">
      <c r="M484" s="172"/>
      <c r="N484" s="172"/>
    </row>
    <row r="485">
      <c r="M485" s="172"/>
      <c r="N485" s="172"/>
    </row>
    <row r="486">
      <c r="M486" s="172"/>
      <c r="N486" s="172"/>
    </row>
    <row r="487">
      <c r="M487" s="172"/>
      <c r="N487" s="172"/>
    </row>
    <row r="488">
      <c r="M488" s="172"/>
      <c r="N488" s="172"/>
    </row>
    <row r="489">
      <c r="M489" s="172"/>
      <c r="N489" s="172"/>
    </row>
    <row r="490">
      <c r="M490" s="172"/>
      <c r="N490" s="172"/>
    </row>
    <row r="491">
      <c r="M491" s="172"/>
      <c r="N491" s="172"/>
    </row>
    <row r="492">
      <c r="M492" s="172"/>
      <c r="N492" s="172"/>
    </row>
    <row r="493">
      <c r="M493" s="172"/>
      <c r="N493" s="172"/>
    </row>
    <row r="494">
      <c r="M494" s="172"/>
      <c r="N494" s="172"/>
    </row>
    <row r="495">
      <c r="M495" s="172"/>
      <c r="N495" s="172"/>
    </row>
    <row r="496">
      <c r="M496" s="172"/>
      <c r="N496" s="172"/>
    </row>
    <row r="497">
      <c r="M497" s="172"/>
      <c r="N497" s="172"/>
    </row>
    <row r="498">
      <c r="M498" s="172"/>
      <c r="N498" s="172"/>
    </row>
    <row r="499">
      <c r="M499" s="172"/>
      <c r="N499" s="172"/>
    </row>
    <row r="500">
      <c r="M500" s="172"/>
      <c r="N500" s="172"/>
    </row>
    <row r="501">
      <c r="M501" s="172"/>
      <c r="N501" s="172"/>
    </row>
    <row r="502">
      <c r="M502" s="172"/>
      <c r="N502" s="172"/>
    </row>
    <row r="503">
      <c r="M503" s="172"/>
      <c r="N503" s="172"/>
    </row>
    <row r="504">
      <c r="M504" s="172"/>
      <c r="N504" s="172"/>
    </row>
    <row r="505">
      <c r="M505" s="172"/>
      <c r="N505" s="172"/>
    </row>
    <row r="506">
      <c r="M506" s="172"/>
      <c r="N506" s="172"/>
    </row>
    <row r="507">
      <c r="M507" s="172"/>
      <c r="N507" s="172"/>
    </row>
    <row r="508">
      <c r="M508" s="172"/>
      <c r="N508" s="172"/>
    </row>
    <row r="509">
      <c r="M509" s="172"/>
      <c r="N509" s="172"/>
    </row>
    <row r="510">
      <c r="M510" s="172"/>
      <c r="N510" s="172"/>
    </row>
    <row r="511">
      <c r="M511" s="172"/>
      <c r="N511" s="172"/>
    </row>
    <row r="512">
      <c r="M512" s="172"/>
      <c r="N512" s="172"/>
    </row>
    <row r="513">
      <c r="M513" s="172"/>
      <c r="N513" s="172"/>
    </row>
    <row r="514">
      <c r="M514" s="172"/>
      <c r="N514" s="172"/>
    </row>
    <row r="515">
      <c r="M515" s="172"/>
      <c r="N515" s="172"/>
    </row>
    <row r="516">
      <c r="M516" s="172"/>
      <c r="N516" s="172"/>
    </row>
    <row r="517">
      <c r="M517" s="172"/>
      <c r="N517" s="172"/>
    </row>
    <row r="518">
      <c r="M518" s="172"/>
      <c r="N518" s="172"/>
    </row>
    <row r="519">
      <c r="M519" s="172"/>
      <c r="N519" s="172"/>
    </row>
    <row r="520">
      <c r="M520" s="172"/>
      <c r="N520" s="172"/>
    </row>
    <row r="521">
      <c r="M521" s="172"/>
      <c r="N521" s="172"/>
    </row>
    <row r="522">
      <c r="M522" s="172"/>
      <c r="N522" s="172"/>
    </row>
    <row r="523">
      <c r="M523" s="172"/>
      <c r="N523" s="172"/>
    </row>
    <row r="524">
      <c r="M524" s="172"/>
      <c r="N524" s="172"/>
    </row>
    <row r="525">
      <c r="M525" s="172"/>
      <c r="N525" s="172"/>
    </row>
    <row r="526">
      <c r="M526" s="172"/>
      <c r="N526" s="172"/>
    </row>
    <row r="527">
      <c r="M527" s="172"/>
      <c r="N527" s="172"/>
    </row>
    <row r="528">
      <c r="M528" s="172"/>
      <c r="N528" s="172"/>
    </row>
    <row r="529">
      <c r="M529" s="172"/>
      <c r="N529" s="172"/>
    </row>
    <row r="530">
      <c r="M530" s="172"/>
      <c r="N530" s="172"/>
    </row>
    <row r="531">
      <c r="M531" s="172"/>
      <c r="N531" s="172"/>
    </row>
    <row r="532">
      <c r="M532" s="172"/>
      <c r="N532" s="172"/>
    </row>
    <row r="533">
      <c r="M533" s="172"/>
      <c r="N533" s="172"/>
    </row>
    <row r="534">
      <c r="M534" s="172"/>
      <c r="N534" s="172"/>
    </row>
    <row r="535">
      <c r="M535" s="172"/>
      <c r="N535" s="172"/>
    </row>
    <row r="536">
      <c r="M536" s="172"/>
      <c r="N536" s="172"/>
    </row>
    <row r="537">
      <c r="M537" s="172"/>
      <c r="N537" s="172"/>
    </row>
    <row r="538">
      <c r="M538" s="172"/>
      <c r="N538" s="172"/>
    </row>
    <row r="539">
      <c r="M539" s="172"/>
      <c r="N539" s="172"/>
    </row>
    <row r="540">
      <c r="M540" s="172"/>
      <c r="N540" s="172"/>
    </row>
    <row r="541">
      <c r="M541" s="172"/>
      <c r="N541" s="172"/>
    </row>
    <row r="542">
      <c r="M542" s="172"/>
      <c r="N542" s="172"/>
    </row>
    <row r="543">
      <c r="M543" s="172"/>
      <c r="N543" s="172"/>
    </row>
    <row r="544">
      <c r="M544" s="172"/>
      <c r="N544" s="172"/>
    </row>
    <row r="545">
      <c r="M545" s="172"/>
      <c r="N545" s="172"/>
    </row>
    <row r="546">
      <c r="M546" s="172"/>
      <c r="N546" s="172"/>
    </row>
    <row r="547">
      <c r="M547" s="172"/>
      <c r="N547" s="172"/>
    </row>
    <row r="548">
      <c r="M548" s="172"/>
      <c r="N548" s="172"/>
    </row>
    <row r="549">
      <c r="M549" s="172"/>
      <c r="N549" s="172"/>
    </row>
    <row r="550">
      <c r="M550" s="172"/>
      <c r="N550" s="172"/>
    </row>
    <row r="551">
      <c r="M551" s="172"/>
      <c r="N551" s="172"/>
    </row>
    <row r="552">
      <c r="M552" s="172"/>
      <c r="N552" s="172"/>
    </row>
    <row r="553">
      <c r="M553" s="172"/>
      <c r="N553" s="172"/>
    </row>
    <row r="554">
      <c r="M554" s="172"/>
      <c r="N554" s="172"/>
    </row>
    <row r="555">
      <c r="M555" s="172"/>
      <c r="N555" s="172"/>
    </row>
    <row r="556">
      <c r="M556" s="172"/>
      <c r="N556" s="172"/>
    </row>
    <row r="557">
      <c r="M557" s="172"/>
      <c r="N557" s="172"/>
    </row>
    <row r="558">
      <c r="M558" s="172"/>
      <c r="N558" s="172"/>
    </row>
    <row r="559">
      <c r="M559" s="172"/>
      <c r="N559" s="172"/>
    </row>
    <row r="560">
      <c r="M560" s="172"/>
      <c r="N560" s="172"/>
    </row>
    <row r="561">
      <c r="M561" s="172"/>
      <c r="N561" s="172"/>
    </row>
    <row r="562">
      <c r="M562" s="172"/>
      <c r="N562" s="172"/>
    </row>
    <row r="563">
      <c r="M563" s="172"/>
      <c r="N563" s="172"/>
    </row>
    <row r="564">
      <c r="M564" s="172"/>
      <c r="N564" s="172"/>
    </row>
    <row r="565">
      <c r="M565" s="172"/>
      <c r="N565" s="172"/>
    </row>
    <row r="566">
      <c r="M566" s="172"/>
      <c r="N566" s="172"/>
    </row>
    <row r="567">
      <c r="M567" s="172"/>
      <c r="N567" s="172"/>
    </row>
    <row r="568">
      <c r="M568" s="172"/>
      <c r="N568" s="172"/>
    </row>
    <row r="569">
      <c r="M569" s="172"/>
      <c r="N569" s="172"/>
    </row>
    <row r="570">
      <c r="M570" s="172"/>
      <c r="N570" s="172"/>
    </row>
    <row r="571">
      <c r="M571" s="172"/>
      <c r="N571" s="172"/>
    </row>
    <row r="572">
      <c r="M572" s="172"/>
      <c r="N572" s="172"/>
    </row>
    <row r="573">
      <c r="M573" s="172"/>
      <c r="N573" s="172"/>
    </row>
    <row r="574">
      <c r="M574" s="172"/>
      <c r="N574" s="172"/>
    </row>
    <row r="575">
      <c r="M575" s="172"/>
      <c r="N575" s="172"/>
    </row>
    <row r="576">
      <c r="M576" s="172"/>
      <c r="N576" s="172"/>
    </row>
    <row r="577">
      <c r="M577" s="172"/>
      <c r="N577" s="172"/>
    </row>
    <row r="578">
      <c r="M578" s="172"/>
      <c r="N578" s="172"/>
    </row>
    <row r="579">
      <c r="M579" s="172"/>
      <c r="N579" s="172"/>
    </row>
    <row r="580">
      <c r="M580" s="172"/>
      <c r="N580" s="172"/>
    </row>
    <row r="581">
      <c r="M581" s="172"/>
      <c r="N581" s="172"/>
    </row>
    <row r="582">
      <c r="M582" s="172"/>
      <c r="N582" s="172"/>
    </row>
    <row r="583">
      <c r="M583" s="172"/>
      <c r="N583" s="172"/>
    </row>
    <row r="584">
      <c r="M584" s="172"/>
      <c r="N584" s="172"/>
    </row>
    <row r="585">
      <c r="M585" s="172"/>
      <c r="N585" s="172"/>
    </row>
    <row r="586">
      <c r="M586" s="172"/>
      <c r="N586" s="172"/>
    </row>
    <row r="587">
      <c r="M587" s="172"/>
      <c r="N587" s="172"/>
    </row>
    <row r="588">
      <c r="M588" s="172"/>
      <c r="N588" s="172"/>
    </row>
    <row r="589">
      <c r="M589" s="172"/>
      <c r="N589" s="172"/>
    </row>
    <row r="590">
      <c r="M590" s="172"/>
      <c r="N590" s="172"/>
    </row>
    <row r="591">
      <c r="M591" s="172"/>
      <c r="N591" s="172"/>
    </row>
    <row r="592">
      <c r="M592" s="172"/>
      <c r="N592" s="172"/>
    </row>
    <row r="593">
      <c r="M593" s="172"/>
      <c r="N593" s="172"/>
    </row>
    <row r="594">
      <c r="M594" s="172"/>
      <c r="N594" s="172"/>
    </row>
    <row r="595">
      <c r="M595" s="172"/>
      <c r="N595" s="172"/>
    </row>
    <row r="596">
      <c r="M596" s="172"/>
      <c r="N596" s="172"/>
    </row>
    <row r="597">
      <c r="M597" s="172"/>
      <c r="N597" s="172"/>
    </row>
    <row r="598">
      <c r="M598" s="172"/>
      <c r="N598" s="172"/>
    </row>
    <row r="599">
      <c r="M599" s="172"/>
      <c r="N599" s="172"/>
    </row>
    <row r="600">
      <c r="M600" s="172"/>
      <c r="N600" s="172"/>
    </row>
    <row r="601">
      <c r="M601" s="172"/>
      <c r="N601" s="172"/>
    </row>
    <row r="602">
      <c r="M602" s="172"/>
      <c r="N602" s="172"/>
    </row>
    <row r="603">
      <c r="M603" s="172"/>
      <c r="N603" s="172"/>
    </row>
    <row r="604">
      <c r="M604" s="172"/>
      <c r="N604" s="172"/>
    </row>
    <row r="605">
      <c r="M605" s="172"/>
      <c r="N605" s="172"/>
    </row>
    <row r="606">
      <c r="M606" s="172"/>
      <c r="N606" s="172"/>
    </row>
    <row r="607">
      <c r="M607" s="172"/>
      <c r="N607" s="172"/>
    </row>
    <row r="608">
      <c r="M608" s="172"/>
      <c r="N608" s="172"/>
    </row>
    <row r="609">
      <c r="M609" s="172"/>
      <c r="N609" s="172"/>
    </row>
    <row r="610">
      <c r="M610" s="172"/>
      <c r="N610" s="172"/>
    </row>
    <row r="611">
      <c r="M611" s="172"/>
      <c r="N611" s="172"/>
    </row>
    <row r="612">
      <c r="M612" s="172"/>
      <c r="N612" s="172"/>
    </row>
    <row r="613">
      <c r="M613" s="172"/>
      <c r="N613" s="172"/>
    </row>
    <row r="614">
      <c r="M614" s="172"/>
      <c r="N614" s="172"/>
    </row>
    <row r="615">
      <c r="M615" s="172"/>
      <c r="N615" s="172"/>
    </row>
    <row r="616">
      <c r="M616" s="172"/>
      <c r="N616" s="172"/>
    </row>
    <row r="617">
      <c r="M617" s="172"/>
      <c r="N617" s="172"/>
    </row>
    <row r="618">
      <c r="M618" s="172"/>
      <c r="N618" s="172"/>
    </row>
    <row r="619">
      <c r="M619" s="172"/>
      <c r="N619" s="172"/>
    </row>
    <row r="620">
      <c r="M620" s="172"/>
      <c r="N620" s="172"/>
    </row>
    <row r="621">
      <c r="M621" s="172"/>
      <c r="N621" s="172"/>
    </row>
    <row r="622">
      <c r="M622" s="172"/>
      <c r="N622" s="172"/>
    </row>
    <row r="623">
      <c r="M623" s="172"/>
      <c r="N623" s="172"/>
    </row>
    <row r="624">
      <c r="M624" s="172"/>
      <c r="N624" s="172"/>
    </row>
    <row r="625">
      <c r="M625" s="172"/>
      <c r="N625" s="172"/>
    </row>
    <row r="626">
      <c r="M626" s="172"/>
      <c r="N626" s="172"/>
    </row>
    <row r="627">
      <c r="M627" s="172"/>
      <c r="N627" s="172"/>
    </row>
    <row r="628">
      <c r="M628" s="172"/>
      <c r="N628" s="172"/>
    </row>
    <row r="629">
      <c r="M629" s="172"/>
      <c r="N629" s="172"/>
    </row>
    <row r="630">
      <c r="M630" s="172"/>
      <c r="N630" s="172"/>
    </row>
    <row r="631">
      <c r="M631" s="172"/>
      <c r="N631" s="172"/>
    </row>
    <row r="632">
      <c r="M632" s="172"/>
      <c r="N632" s="172"/>
    </row>
    <row r="633">
      <c r="M633" s="172"/>
      <c r="N633" s="172"/>
    </row>
    <row r="634">
      <c r="M634" s="172"/>
      <c r="N634" s="172"/>
    </row>
    <row r="635">
      <c r="M635" s="172"/>
      <c r="N635" s="172"/>
    </row>
    <row r="636">
      <c r="M636" s="172"/>
      <c r="N636" s="172"/>
    </row>
    <row r="637">
      <c r="M637" s="172"/>
      <c r="N637" s="172"/>
    </row>
    <row r="638">
      <c r="M638" s="172"/>
      <c r="N638" s="172"/>
    </row>
    <row r="639">
      <c r="M639" s="172"/>
      <c r="N639" s="172"/>
    </row>
    <row r="640">
      <c r="M640" s="172"/>
      <c r="N640" s="172"/>
    </row>
    <row r="641">
      <c r="M641" s="172"/>
      <c r="N641" s="172"/>
    </row>
    <row r="642">
      <c r="M642" s="172"/>
      <c r="N642" s="172"/>
    </row>
    <row r="643">
      <c r="M643" s="172"/>
      <c r="N643" s="172"/>
    </row>
    <row r="644">
      <c r="M644" s="172"/>
      <c r="N644" s="172"/>
    </row>
    <row r="645">
      <c r="M645" s="172"/>
      <c r="N645" s="172"/>
    </row>
    <row r="646">
      <c r="M646" s="172"/>
      <c r="N646" s="172"/>
    </row>
    <row r="647">
      <c r="M647" s="172"/>
      <c r="N647" s="172"/>
    </row>
    <row r="648">
      <c r="M648" s="172"/>
      <c r="N648" s="172"/>
    </row>
    <row r="649">
      <c r="M649" s="172"/>
      <c r="N649" s="172"/>
    </row>
    <row r="650">
      <c r="M650" s="172"/>
      <c r="N650" s="172"/>
    </row>
    <row r="651">
      <c r="M651" s="172"/>
      <c r="N651" s="172"/>
    </row>
    <row r="652">
      <c r="M652" s="172"/>
      <c r="N652" s="172"/>
    </row>
    <row r="653">
      <c r="M653" s="172"/>
      <c r="N653" s="172"/>
    </row>
    <row r="654">
      <c r="M654" s="172"/>
      <c r="N654" s="172"/>
    </row>
    <row r="655">
      <c r="M655" s="172"/>
      <c r="N655" s="172"/>
    </row>
    <row r="656">
      <c r="M656" s="172"/>
      <c r="N656" s="172"/>
    </row>
    <row r="657">
      <c r="M657" s="172"/>
      <c r="N657" s="172"/>
    </row>
    <row r="658">
      <c r="M658" s="172"/>
      <c r="N658" s="172"/>
    </row>
    <row r="659">
      <c r="M659" s="172"/>
      <c r="N659" s="172"/>
    </row>
    <row r="660">
      <c r="M660" s="172"/>
      <c r="N660" s="172"/>
    </row>
    <row r="661">
      <c r="M661" s="172"/>
      <c r="N661" s="172"/>
    </row>
    <row r="662">
      <c r="M662" s="172"/>
      <c r="N662" s="172"/>
    </row>
    <row r="663">
      <c r="M663" s="172"/>
      <c r="N663" s="172"/>
    </row>
    <row r="664">
      <c r="M664" s="172"/>
      <c r="N664" s="172"/>
    </row>
    <row r="665">
      <c r="M665" s="172"/>
      <c r="N665" s="172"/>
    </row>
    <row r="666">
      <c r="M666" s="172"/>
      <c r="N666" s="172"/>
    </row>
    <row r="667">
      <c r="M667" s="172"/>
      <c r="N667" s="172"/>
    </row>
    <row r="668">
      <c r="M668" s="172"/>
      <c r="N668" s="172"/>
    </row>
    <row r="669">
      <c r="M669" s="172"/>
      <c r="N669" s="172"/>
    </row>
    <row r="670">
      <c r="M670" s="172"/>
      <c r="N670" s="172"/>
    </row>
    <row r="671">
      <c r="M671" s="172"/>
      <c r="N671" s="172"/>
    </row>
    <row r="672">
      <c r="M672" s="172"/>
      <c r="N672" s="172"/>
    </row>
    <row r="673">
      <c r="M673" s="172"/>
      <c r="N673" s="172"/>
    </row>
    <row r="674">
      <c r="M674" s="172"/>
      <c r="N674" s="172"/>
    </row>
    <row r="675">
      <c r="M675" s="172"/>
      <c r="N675" s="172"/>
    </row>
    <row r="676">
      <c r="M676" s="172"/>
      <c r="N676" s="172"/>
    </row>
    <row r="677">
      <c r="M677" s="172"/>
      <c r="N677" s="172"/>
    </row>
    <row r="678">
      <c r="M678" s="172"/>
      <c r="N678" s="172"/>
    </row>
    <row r="679">
      <c r="M679" s="172"/>
      <c r="N679" s="172"/>
    </row>
    <row r="680">
      <c r="M680" s="172"/>
      <c r="N680" s="172"/>
    </row>
    <row r="681">
      <c r="M681" s="172"/>
      <c r="N681" s="172"/>
    </row>
    <row r="682">
      <c r="M682" s="172"/>
      <c r="N682" s="172"/>
    </row>
    <row r="683">
      <c r="M683" s="172"/>
      <c r="N683" s="172"/>
    </row>
    <row r="684">
      <c r="M684" s="172"/>
      <c r="N684" s="172"/>
    </row>
    <row r="685">
      <c r="M685" s="172"/>
      <c r="N685" s="172"/>
    </row>
    <row r="686">
      <c r="M686" s="172"/>
      <c r="N686" s="172"/>
    </row>
    <row r="687">
      <c r="M687" s="172"/>
      <c r="N687" s="172"/>
    </row>
    <row r="688">
      <c r="M688" s="172"/>
      <c r="N688" s="172"/>
    </row>
    <row r="689">
      <c r="M689" s="172"/>
      <c r="N689" s="172"/>
    </row>
    <row r="690">
      <c r="M690" s="172"/>
      <c r="N690" s="172"/>
    </row>
    <row r="691">
      <c r="M691" s="172"/>
      <c r="N691" s="172"/>
    </row>
    <row r="692">
      <c r="M692" s="172"/>
      <c r="N692" s="172"/>
    </row>
    <row r="693">
      <c r="M693" s="172"/>
      <c r="N693" s="172"/>
    </row>
    <row r="694">
      <c r="M694" s="172"/>
      <c r="N694" s="172"/>
    </row>
    <row r="695">
      <c r="M695" s="172"/>
      <c r="N695" s="172"/>
    </row>
    <row r="696">
      <c r="M696" s="172"/>
      <c r="N696" s="172"/>
    </row>
    <row r="697">
      <c r="M697" s="172"/>
      <c r="N697" s="172"/>
    </row>
    <row r="698">
      <c r="M698" s="172"/>
      <c r="N698" s="172"/>
    </row>
    <row r="699">
      <c r="M699" s="172"/>
      <c r="N699" s="172"/>
    </row>
    <row r="700">
      <c r="M700" s="172"/>
      <c r="N700" s="172"/>
    </row>
    <row r="701">
      <c r="M701" s="172"/>
      <c r="N701" s="172"/>
    </row>
    <row r="702">
      <c r="M702" s="172"/>
      <c r="N702" s="172"/>
    </row>
    <row r="703">
      <c r="M703" s="172"/>
      <c r="N703" s="172"/>
    </row>
    <row r="704">
      <c r="M704" s="172"/>
      <c r="N704" s="172"/>
    </row>
    <row r="705">
      <c r="M705" s="172"/>
      <c r="N705" s="172"/>
    </row>
    <row r="706">
      <c r="M706" s="172"/>
      <c r="N706" s="172"/>
    </row>
    <row r="707">
      <c r="M707" s="172"/>
      <c r="N707" s="172"/>
    </row>
    <row r="708">
      <c r="M708" s="172"/>
      <c r="N708" s="172"/>
    </row>
    <row r="709">
      <c r="M709" s="172"/>
      <c r="N709" s="172"/>
    </row>
    <row r="710">
      <c r="M710" s="172"/>
      <c r="N710" s="172"/>
    </row>
    <row r="711">
      <c r="M711" s="172"/>
      <c r="N711" s="172"/>
    </row>
    <row r="712">
      <c r="M712" s="172"/>
      <c r="N712" s="172"/>
    </row>
    <row r="713">
      <c r="M713" s="172"/>
      <c r="N713" s="172"/>
    </row>
    <row r="714">
      <c r="M714" s="172"/>
      <c r="N714" s="172"/>
    </row>
    <row r="715">
      <c r="M715" s="172"/>
      <c r="N715" s="172"/>
    </row>
    <row r="716">
      <c r="M716" s="172"/>
      <c r="N716" s="172"/>
    </row>
    <row r="717">
      <c r="M717" s="172"/>
      <c r="N717" s="172"/>
    </row>
    <row r="718">
      <c r="M718" s="172"/>
      <c r="N718" s="172"/>
    </row>
    <row r="719">
      <c r="M719" s="172"/>
      <c r="N719" s="172"/>
    </row>
    <row r="720">
      <c r="M720" s="172"/>
      <c r="N720" s="172"/>
    </row>
    <row r="721">
      <c r="M721" s="172"/>
      <c r="N721" s="172"/>
    </row>
    <row r="722">
      <c r="M722" s="172"/>
      <c r="N722" s="172"/>
    </row>
    <row r="723">
      <c r="M723" s="172"/>
      <c r="N723" s="172"/>
    </row>
    <row r="724">
      <c r="M724" s="172"/>
      <c r="N724" s="172"/>
    </row>
    <row r="725">
      <c r="M725" s="172"/>
      <c r="N725" s="172"/>
    </row>
    <row r="726">
      <c r="M726" s="172"/>
      <c r="N726" s="172"/>
    </row>
    <row r="727">
      <c r="M727" s="172"/>
      <c r="N727" s="172"/>
    </row>
    <row r="728">
      <c r="M728" s="172"/>
      <c r="N728" s="172"/>
    </row>
    <row r="729">
      <c r="M729" s="172"/>
      <c r="N729" s="172"/>
    </row>
    <row r="730">
      <c r="M730" s="172"/>
      <c r="N730" s="172"/>
    </row>
    <row r="731">
      <c r="M731" s="172"/>
      <c r="N731" s="172"/>
    </row>
    <row r="732">
      <c r="M732" s="172"/>
      <c r="N732" s="172"/>
    </row>
    <row r="733">
      <c r="M733" s="172"/>
      <c r="N733" s="172"/>
    </row>
    <row r="734">
      <c r="M734" s="172"/>
      <c r="N734" s="172"/>
    </row>
    <row r="735">
      <c r="M735" s="172"/>
      <c r="N735" s="172"/>
    </row>
    <row r="736">
      <c r="M736" s="172"/>
      <c r="N736" s="172"/>
    </row>
    <row r="737">
      <c r="M737" s="172"/>
      <c r="N737" s="172"/>
    </row>
    <row r="738">
      <c r="M738" s="172"/>
      <c r="N738" s="172"/>
    </row>
    <row r="739">
      <c r="M739" s="172"/>
      <c r="N739" s="172"/>
    </row>
    <row r="740">
      <c r="M740" s="172"/>
      <c r="N740" s="172"/>
    </row>
    <row r="741">
      <c r="M741" s="172"/>
      <c r="N741" s="172"/>
    </row>
    <row r="742">
      <c r="M742" s="172"/>
      <c r="N742" s="172"/>
    </row>
    <row r="743">
      <c r="M743" s="172"/>
      <c r="N743" s="172"/>
    </row>
    <row r="744">
      <c r="M744" s="172"/>
      <c r="N744" s="172"/>
    </row>
    <row r="745">
      <c r="M745" s="172"/>
      <c r="N745" s="172"/>
    </row>
    <row r="746">
      <c r="M746" s="172"/>
      <c r="N746" s="172"/>
    </row>
    <row r="747">
      <c r="M747" s="172"/>
      <c r="N747" s="172"/>
    </row>
    <row r="748">
      <c r="M748" s="172"/>
      <c r="N748" s="172"/>
    </row>
    <row r="749">
      <c r="M749" s="172"/>
      <c r="N749" s="172"/>
    </row>
    <row r="750">
      <c r="M750" s="172"/>
      <c r="N750" s="172"/>
    </row>
    <row r="751">
      <c r="M751" s="172"/>
      <c r="N751" s="172"/>
    </row>
    <row r="752">
      <c r="M752" s="172"/>
      <c r="N752" s="172"/>
    </row>
    <row r="753">
      <c r="M753" s="172"/>
      <c r="N753" s="172"/>
    </row>
    <row r="754">
      <c r="M754" s="172"/>
      <c r="N754" s="172"/>
    </row>
    <row r="755">
      <c r="M755" s="172"/>
      <c r="N755" s="172"/>
    </row>
    <row r="756">
      <c r="M756" s="172"/>
      <c r="N756" s="172"/>
    </row>
    <row r="757">
      <c r="M757" s="172"/>
      <c r="N757" s="172"/>
    </row>
    <row r="758">
      <c r="M758" s="172"/>
      <c r="N758" s="172"/>
    </row>
    <row r="759">
      <c r="M759" s="172"/>
      <c r="N759" s="172"/>
    </row>
    <row r="760">
      <c r="M760" s="172"/>
      <c r="N760" s="172"/>
    </row>
    <row r="761">
      <c r="M761" s="172"/>
      <c r="N761" s="172"/>
    </row>
    <row r="762">
      <c r="M762" s="172"/>
      <c r="N762" s="172"/>
    </row>
    <row r="763">
      <c r="M763" s="172"/>
      <c r="N763" s="172"/>
    </row>
    <row r="764">
      <c r="M764" s="172"/>
      <c r="N764" s="172"/>
    </row>
    <row r="765">
      <c r="M765" s="172"/>
      <c r="N765" s="172"/>
    </row>
    <row r="766">
      <c r="M766" s="172"/>
      <c r="N766" s="172"/>
    </row>
    <row r="767">
      <c r="M767" s="172"/>
      <c r="N767" s="172"/>
    </row>
    <row r="768">
      <c r="M768" s="172"/>
      <c r="N768" s="172"/>
    </row>
    <row r="769">
      <c r="M769" s="172"/>
      <c r="N769" s="172"/>
    </row>
    <row r="770">
      <c r="M770" s="172"/>
      <c r="N770" s="172"/>
    </row>
    <row r="771">
      <c r="M771" s="172"/>
      <c r="N771" s="172"/>
    </row>
    <row r="772">
      <c r="M772" s="172"/>
      <c r="N772" s="172"/>
    </row>
    <row r="773">
      <c r="M773" s="172"/>
      <c r="N773" s="172"/>
    </row>
    <row r="774">
      <c r="M774" s="172"/>
      <c r="N774" s="172"/>
    </row>
    <row r="775">
      <c r="M775" s="172"/>
      <c r="N775" s="172"/>
    </row>
    <row r="776">
      <c r="M776" s="172"/>
      <c r="N776" s="172"/>
    </row>
    <row r="777">
      <c r="M777" s="172"/>
      <c r="N777" s="172"/>
    </row>
    <row r="778">
      <c r="M778" s="172"/>
      <c r="N778" s="172"/>
    </row>
    <row r="779">
      <c r="M779" s="172"/>
      <c r="N779" s="172"/>
    </row>
    <row r="780">
      <c r="M780" s="172"/>
      <c r="N780" s="172"/>
    </row>
    <row r="781">
      <c r="M781" s="172"/>
      <c r="N781" s="172"/>
    </row>
    <row r="782">
      <c r="M782" s="172"/>
      <c r="N782" s="172"/>
    </row>
    <row r="783">
      <c r="M783" s="172"/>
      <c r="N783" s="172"/>
    </row>
    <row r="784">
      <c r="M784" s="172"/>
      <c r="N784" s="172"/>
    </row>
    <row r="785">
      <c r="M785" s="172"/>
      <c r="N785" s="172"/>
    </row>
    <row r="786">
      <c r="M786" s="172"/>
      <c r="N786" s="172"/>
    </row>
    <row r="787">
      <c r="M787" s="172"/>
      <c r="N787" s="172"/>
    </row>
    <row r="788">
      <c r="M788" s="172"/>
      <c r="N788" s="172"/>
    </row>
    <row r="789">
      <c r="M789" s="172"/>
      <c r="N789" s="172"/>
    </row>
    <row r="790">
      <c r="M790" s="172"/>
      <c r="N790" s="172"/>
    </row>
    <row r="791">
      <c r="M791" s="172"/>
      <c r="N791" s="172"/>
    </row>
    <row r="792">
      <c r="M792" s="172"/>
      <c r="N792" s="172"/>
    </row>
    <row r="793">
      <c r="M793" s="172"/>
      <c r="N793" s="172"/>
    </row>
    <row r="794">
      <c r="M794" s="172"/>
      <c r="N794" s="172"/>
    </row>
    <row r="795">
      <c r="M795" s="172"/>
      <c r="N795" s="172"/>
    </row>
    <row r="796">
      <c r="M796" s="172"/>
      <c r="N796" s="172"/>
    </row>
    <row r="797">
      <c r="M797" s="172"/>
      <c r="N797" s="172"/>
    </row>
    <row r="798">
      <c r="M798" s="172"/>
      <c r="N798" s="172"/>
    </row>
    <row r="799">
      <c r="M799" s="172"/>
      <c r="N799" s="172"/>
    </row>
    <row r="800">
      <c r="M800" s="172"/>
      <c r="N800" s="172"/>
    </row>
    <row r="801">
      <c r="M801" s="172"/>
      <c r="N801" s="172"/>
    </row>
    <row r="802">
      <c r="M802" s="172"/>
      <c r="N802" s="172"/>
    </row>
    <row r="803">
      <c r="M803" s="172"/>
      <c r="N803" s="172"/>
    </row>
    <row r="804">
      <c r="M804" s="172"/>
      <c r="N804" s="172"/>
    </row>
    <row r="805">
      <c r="M805" s="172"/>
      <c r="N805" s="172"/>
    </row>
    <row r="806">
      <c r="M806" s="172"/>
      <c r="N806" s="172"/>
    </row>
    <row r="807">
      <c r="M807" s="172"/>
      <c r="N807" s="172"/>
    </row>
    <row r="808">
      <c r="M808" s="172"/>
      <c r="N808" s="172"/>
    </row>
    <row r="809">
      <c r="M809" s="172"/>
      <c r="N809" s="172"/>
    </row>
    <row r="810">
      <c r="M810" s="172"/>
      <c r="N810" s="172"/>
    </row>
    <row r="811">
      <c r="M811" s="172"/>
      <c r="N811" s="172"/>
    </row>
    <row r="812">
      <c r="M812" s="172"/>
      <c r="N812" s="172"/>
    </row>
    <row r="813">
      <c r="M813" s="172"/>
      <c r="N813" s="172"/>
    </row>
    <row r="814">
      <c r="M814" s="172"/>
      <c r="N814" s="172"/>
    </row>
    <row r="815">
      <c r="M815" s="172"/>
      <c r="N815" s="172"/>
    </row>
    <row r="816">
      <c r="M816" s="172"/>
      <c r="N816" s="172"/>
    </row>
    <row r="817">
      <c r="M817" s="172"/>
      <c r="N817" s="172"/>
    </row>
    <row r="818">
      <c r="M818" s="172"/>
      <c r="N818" s="172"/>
    </row>
    <row r="819">
      <c r="M819" s="172"/>
      <c r="N819" s="172"/>
    </row>
    <row r="820">
      <c r="M820" s="172"/>
      <c r="N820" s="172"/>
    </row>
    <row r="821">
      <c r="M821" s="172"/>
      <c r="N821" s="172"/>
    </row>
    <row r="822">
      <c r="M822" s="172"/>
      <c r="N822" s="172"/>
    </row>
    <row r="823">
      <c r="M823" s="172"/>
      <c r="N823" s="172"/>
    </row>
    <row r="824">
      <c r="M824" s="172"/>
      <c r="N824" s="172"/>
    </row>
    <row r="825">
      <c r="M825" s="172"/>
      <c r="N825" s="172"/>
    </row>
    <row r="826">
      <c r="M826" s="172"/>
      <c r="N826" s="172"/>
    </row>
    <row r="827">
      <c r="M827" s="172"/>
      <c r="N827" s="172"/>
    </row>
    <row r="828">
      <c r="M828" s="172"/>
      <c r="N828" s="172"/>
    </row>
    <row r="829">
      <c r="M829" s="172"/>
      <c r="N829" s="172"/>
    </row>
    <row r="830">
      <c r="M830" s="172"/>
      <c r="N830" s="172"/>
    </row>
    <row r="831">
      <c r="M831" s="172"/>
      <c r="N831" s="172"/>
    </row>
    <row r="832">
      <c r="M832" s="172"/>
      <c r="N832" s="172"/>
    </row>
    <row r="833">
      <c r="M833" s="172"/>
      <c r="N833" s="172"/>
    </row>
    <row r="834">
      <c r="M834" s="172"/>
      <c r="N834" s="172"/>
    </row>
    <row r="835">
      <c r="M835" s="172"/>
      <c r="N835" s="172"/>
    </row>
    <row r="836">
      <c r="M836" s="172"/>
      <c r="N836" s="172"/>
    </row>
    <row r="837">
      <c r="M837" s="172"/>
      <c r="N837" s="172"/>
    </row>
    <row r="838">
      <c r="M838" s="172"/>
      <c r="N838" s="172"/>
    </row>
    <row r="839">
      <c r="M839" s="172"/>
      <c r="N839" s="172"/>
    </row>
    <row r="840">
      <c r="M840" s="172"/>
      <c r="N840" s="172"/>
    </row>
    <row r="841">
      <c r="M841" s="172"/>
      <c r="N841" s="172"/>
    </row>
    <row r="842">
      <c r="M842" s="172"/>
      <c r="N842" s="172"/>
    </row>
    <row r="843">
      <c r="M843" s="172"/>
      <c r="N843" s="172"/>
    </row>
    <row r="844">
      <c r="M844" s="172"/>
      <c r="N844" s="172"/>
    </row>
    <row r="845">
      <c r="M845" s="172"/>
      <c r="N845" s="172"/>
    </row>
    <row r="846">
      <c r="M846" s="172"/>
      <c r="N846" s="172"/>
    </row>
    <row r="847">
      <c r="M847" s="172"/>
      <c r="N847" s="172"/>
    </row>
    <row r="848">
      <c r="M848" s="172"/>
      <c r="N848" s="172"/>
    </row>
    <row r="849">
      <c r="M849" s="172"/>
      <c r="N849" s="172"/>
    </row>
    <row r="850">
      <c r="M850" s="172"/>
      <c r="N850" s="172"/>
    </row>
    <row r="851">
      <c r="M851" s="172"/>
      <c r="N851" s="172"/>
    </row>
    <row r="852">
      <c r="M852" s="172"/>
      <c r="N852" s="172"/>
    </row>
    <row r="853">
      <c r="M853" s="172"/>
      <c r="N853" s="172"/>
    </row>
    <row r="854">
      <c r="M854" s="172"/>
      <c r="N854" s="172"/>
    </row>
    <row r="855">
      <c r="M855" s="172"/>
      <c r="N855" s="172"/>
    </row>
    <row r="856">
      <c r="M856" s="172"/>
      <c r="N856" s="172"/>
    </row>
    <row r="857">
      <c r="M857" s="172"/>
      <c r="N857" s="172"/>
    </row>
    <row r="858">
      <c r="M858" s="172"/>
      <c r="N858" s="172"/>
    </row>
    <row r="859">
      <c r="M859" s="172"/>
      <c r="N859" s="172"/>
    </row>
    <row r="860">
      <c r="M860" s="172"/>
      <c r="N860" s="172"/>
    </row>
    <row r="861">
      <c r="M861" s="172"/>
      <c r="N861" s="172"/>
    </row>
    <row r="862">
      <c r="M862" s="172"/>
      <c r="N862" s="172"/>
    </row>
    <row r="863">
      <c r="M863" s="172"/>
      <c r="N863" s="172"/>
    </row>
    <row r="864">
      <c r="M864" s="172"/>
      <c r="N864" s="172"/>
    </row>
    <row r="865">
      <c r="M865" s="172"/>
      <c r="N865" s="172"/>
    </row>
    <row r="866">
      <c r="M866" s="172"/>
      <c r="N866" s="172"/>
    </row>
    <row r="867">
      <c r="M867" s="172"/>
      <c r="N867" s="172"/>
    </row>
    <row r="868">
      <c r="M868" s="172"/>
      <c r="N868" s="172"/>
    </row>
    <row r="869">
      <c r="M869" s="172"/>
      <c r="N869" s="172"/>
    </row>
    <row r="870">
      <c r="M870" s="172"/>
      <c r="N870" s="172"/>
    </row>
    <row r="871">
      <c r="M871" s="172"/>
      <c r="N871" s="172"/>
    </row>
    <row r="872">
      <c r="M872" s="172"/>
      <c r="N872" s="172"/>
    </row>
    <row r="873">
      <c r="M873" s="172"/>
      <c r="N873" s="172"/>
    </row>
    <row r="874">
      <c r="M874" s="172"/>
      <c r="N874" s="172"/>
    </row>
    <row r="875">
      <c r="M875" s="172"/>
      <c r="N875" s="172"/>
    </row>
    <row r="876">
      <c r="M876" s="172"/>
      <c r="N876" s="172"/>
    </row>
    <row r="877">
      <c r="M877" s="172"/>
      <c r="N877" s="172"/>
    </row>
    <row r="878">
      <c r="M878" s="172"/>
      <c r="N878" s="172"/>
    </row>
    <row r="879">
      <c r="M879" s="172"/>
      <c r="N879" s="172"/>
    </row>
    <row r="880">
      <c r="M880" s="172"/>
      <c r="N880" s="172"/>
    </row>
    <row r="881">
      <c r="M881" s="172"/>
      <c r="N881" s="172"/>
    </row>
    <row r="882">
      <c r="M882" s="172"/>
      <c r="N882" s="172"/>
    </row>
    <row r="883">
      <c r="M883" s="172"/>
      <c r="N883" s="172"/>
    </row>
    <row r="884">
      <c r="M884" s="172"/>
      <c r="N884" s="172"/>
    </row>
    <row r="885">
      <c r="M885" s="172"/>
      <c r="N885" s="172"/>
    </row>
    <row r="886">
      <c r="M886" s="172"/>
      <c r="N886" s="172"/>
    </row>
    <row r="887">
      <c r="M887" s="172"/>
      <c r="N887" s="172"/>
    </row>
    <row r="888">
      <c r="M888" s="172"/>
      <c r="N888" s="172"/>
    </row>
    <row r="889">
      <c r="M889" s="172"/>
      <c r="N889" s="172"/>
    </row>
    <row r="890">
      <c r="M890" s="172"/>
      <c r="N890" s="172"/>
    </row>
    <row r="891">
      <c r="M891" s="172"/>
      <c r="N891" s="172"/>
    </row>
    <row r="892">
      <c r="M892" s="172"/>
      <c r="N892" s="172"/>
    </row>
    <row r="893">
      <c r="M893" s="172"/>
      <c r="N893" s="172"/>
    </row>
    <row r="894">
      <c r="M894" s="172"/>
      <c r="N894" s="172"/>
    </row>
    <row r="895">
      <c r="M895" s="172"/>
      <c r="N895" s="172"/>
    </row>
    <row r="896">
      <c r="M896" s="172"/>
      <c r="N896" s="172"/>
    </row>
    <row r="897">
      <c r="M897" s="172"/>
      <c r="N897" s="172"/>
    </row>
    <row r="898">
      <c r="M898" s="172"/>
      <c r="N898" s="172"/>
    </row>
    <row r="899">
      <c r="M899" s="172"/>
      <c r="N899" s="172"/>
    </row>
    <row r="900">
      <c r="M900" s="172"/>
      <c r="N900" s="172"/>
    </row>
    <row r="901">
      <c r="M901" s="172"/>
      <c r="N901" s="172"/>
    </row>
    <row r="902">
      <c r="M902" s="172"/>
      <c r="N902" s="172"/>
    </row>
    <row r="903">
      <c r="M903" s="172"/>
      <c r="N903" s="172"/>
    </row>
    <row r="904">
      <c r="M904" s="172"/>
      <c r="N904" s="172"/>
    </row>
    <row r="905">
      <c r="M905" s="172"/>
      <c r="N905" s="172"/>
    </row>
    <row r="906">
      <c r="M906" s="172"/>
      <c r="N906" s="172"/>
    </row>
    <row r="907">
      <c r="M907" s="172"/>
      <c r="N907" s="172"/>
    </row>
    <row r="908">
      <c r="M908" s="172"/>
      <c r="N908" s="172"/>
    </row>
    <row r="909">
      <c r="M909" s="172"/>
      <c r="N909" s="172"/>
    </row>
    <row r="910">
      <c r="M910" s="172"/>
      <c r="N910" s="172"/>
    </row>
    <row r="911">
      <c r="M911" s="172"/>
      <c r="N911" s="172"/>
    </row>
    <row r="912">
      <c r="M912" s="172"/>
      <c r="N912" s="172"/>
    </row>
    <row r="913">
      <c r="M913" s="172"/>
      <c r="N913" s="172"/>
    </row>
    <row r="914">
      <c r="M914" s="172"/>
      <c r="N914" s="172"/>
    </row>
    <row r="915">
      <c r="M915" s="172"/>
      <c r="N915" s="172"/>
    </row>
    <row r="916">
      <c r="M916" s="172"/>
      <c r="N916" s="172"/>
    </row>
    <row r="917">
      <c r="M917" s="172"/>
      <c r="N917" s="172"/>
    </row>
    <row r="918">
      <c r="M918" s="172"/>
      <c r="N918" s="172"/>
    </row>
    <row r="919">
      <c r="M919" s="172"/>
      <c r="N919" s="172"/>
    </row>
    <row r="920">
      <c r="M920" s="172"/>
      <c r="N920" s="172"/>
    </row>
    <row r="921">
      <c r="M921" s="172"/>
      <c r="N921" s="172"/>
    </row>
    <row r="922">
      <c r="M922" s="172"/>
      <c r="N922" s="172"/>
    </row>
    <row r="923">
      <c r="M923" s="172"/>
      <c r="N923" s="172"/>
    </row>
    <row r="924">
      <c r="M924" s="172"/>
      <c r="N924" s="172"/>
    </row>
    <row r="925">
      <c r="M925" s="172"/>
      <c r="N925" s="172"/>
    </row>
    <row r="926">
      <c r="M926" s="172"/>
      <c r="N926" s="172"/>
    </row>
    <row r="927">
      <c r="M927" s="172"/>
      <c r="N927" s="172"/>
    </row>
    <row r="928">
      <c r="M928" s="172"/>
      <c r="N928" s="172"/>
    </row>
    <row r="929">
      <c r="M929" s="172"/>
      <c r="N929" s="172"/>
    </row>
    <row r="930">
      <c r="M930" s="172"/>
      <c r="N930" s="172"/>
    </row>
    <row r="931">
      <c r="M931" s="172"/>
      <c r="N931" s="172"/>
    </row>
    <row r="932">
      <c r="M932" s="172"/>
      <c r="N932" s="172"/>
    </row>
    <row r="933">
      <c r="M933" s="172"/>
      <c r="N933" s="172"/>
    </row>
    <row r="934">
      <c r="M934" s="172"/>
      <c r="N934" s="172"/>
    </row>
    <row r="935">
      <c r="M935" s="172"/>
      <c r="N935" s="172"/>
    </row>
    <row r="936">
      <c r="M936" s="172"/>
      <c r="N936" s="172"/>
    </row>
    <row r="937">
      <c r="M937" s="172"/>
      <c r="N937" s="172"/>
    </row>
    <row r="938">
      <c r="M938" s="172"/>
      <c r="N938" s="172"/>
    </row>
    <row r="939">
      <c r="M939" s="172"/>
      <c r="N939" s="172"/>
    </row>
    <row r="940">
      <c r="M940" s="172"/>
      <c r="N940" s="172"/>
    </row>
    <row r="941">
      <c r="M941" s="172"/>
      <c r="N941" s="172"/>
    </row>
    <row r="942">
      <c r="M942" s="172"/>
      <c r="N942" s="172"/>
    </row>
    <row r="943">
      <c r="M943" s="172"/>
      <c r="N943" s="172"/>
    </row>
    <row r="944">
      <c r="M944" s="172"/>
      <c r="N944" s="172"/>
    </row>
    <row r="945">
      <c r="M945" s="172"/>
      <c r="N945" s="172"/>
    </row>
    <row r="946">
      <c r="M946" s="172"/>
      <c r="N946" s="172"/>
    </row>
    <row r="947">
      <c r="M947" s="172"/>
      <c r="N947" s="172"/>
    </row>
    <row r="948">
      <c r="M948" s="172"/>
      <c r="N948" s="172"/>
    </row>
    <row r="949">
      <c r="M949" s="172"/>
      <c r="N949" s="172"/>
    </row>
    <row r="950">
      <c r="M950" s="172"/>
      <c r="N950" s="172"/>
    </row>
    <row r="951">
      <c r="M951" s="172"/>
      <c r="N951" s="172"/>
    </row>
    <row r="952">
      <c r="M952" s="172"/>
      <c r="N952" s="172"/>
    </row>
    <row r="953">
      <c r="M953" s="172"/>
      <c r="N953" s="172"/>
    </row>
    <row r="954">
      <c r="M954" s="172"/>
      <c r="N954" s="172"/>
    </row>
    <row r="955">
      <c r="M955" s="172"/>
      <c r="N955" s="172"/>
    </row>
    <row r="956">
      <c r="M956" s="172"/>
      <c r="N956" s="172"/>
    </row>
    <row r="957">
      <c r="M957" s="172"/>
      <c r="N957" s="172"/>
    </row>
    <row r="958">
      <c r="M958" s="172"/>
      <c r="N958" s="172"/>
    </row>
    <row r="959">
      <c r="M959" s="172"/>
      <c r="N959" s="172"/>
    </row>
    <row r="960">
      <c r="M960" s="172"/>
      <c r="N960" s="172"/>
    </row>
    <row r="961">
      <c r="M961" s="172"/>
      <c r="N961" s="172"/>
    </row>
    <row r="962">
      <c r="M962" s="172"/>
      <c r="N962" s="172"/>
    </row>
    <row r="963">
      <c r="M963" s="172"/>
      <c r="N963" s="172"/>
    </row>
    <row r="964">
      <c r="M964" s="172"/>
      <c r="N964" s="172"/>
    </row>
    <row r="965">
      <c r="M965" s="172"/>
      <c r="N965" s="172"/>
    </row>
    <row r="966">
      <c r="M966" s="172"/>
      <c r="N966" s="172"/>
    </row>
    <row r="967">
      <c r="M967" s="172"/>
      <c r="N967" s="172"/>
    </row>
    <row r="968">
      <c r="M968" s="172"/>
      <c r="N968" s="172"/>
    </row>
    <row r="969">
      <c r="M969" s="172"/>
      <c r="N969" s="172"/>
    </row>
    <row r="970">
      <c r="M970" s="172"/>
      <c r="N970" s="172"/>
    </row>
    <row r="971">
      <c r="M971" s="172"/>
      <c r="N971" s="172"/>
    </row>
    <row r="972">
      <c r="M972" s="172"/>
      <c r="N972" s="172"/>
    </row>
    <row r="973">
      <c r="M973" s="172"/>
      <c r="N973" s="172"/>
    </row>
    <row r="974">
      <c r="M974" s="172"/>
      <c r="N974" s="172"/>
    </row>
    <row r="975">
      <c r="M975" s="172"/>
      <c r="N975" s="172"/>
    </row>
    <row r="976">
      <c r="M976" s="172"/>
      <c r="N976" s="172"/>
    </row>
    <row r="977">
      <c r="M977" s="172"/>
      <c r="N977" s="172"/>
    </row>
    <row r="978">
      <c r="M978" s="172"/>
      <c r="N978" s="172"/>
    </row>
    <row r="979">
      <c r="M979" s="172"/>
      <c r="N979" s="172"/>
    </row>
    <row r="980">
      <c r="M980" s="172"/>
      <c r="N980" s="172"/>
    </row>
    <row r="981">
      <c r="M981" s="172"/>
      <c r="N981" s="172"/>
    </row>
    <row r="982">
      <c r="M982" s="172"/>
      <c r="N982" s="172"/>
    </row>
    <row r="983">
      <c r="M983" s="172"/>
      <c r="N983" s="172"/>
    </row>
    <row r="984">
      <c r="M984" s="172"/>
      <c r="N984" s="172"/>
    </row>
    <row r="985">
      <c r="M985" s="172"/>
      <c r="N985" s="172"/>
    </row>
    <row r="986">
      <c r="M986" s="172"/>
      <c r="N986" s="172"/>
    </row>
    <row r="987">
      <c r="M987" s="172"/>
      <c r="N987" s="172"/>
    </row>
    <row r="988">
      <c r="M988" s="172"/>
      <c r="N988" s="172"/>
    </row>
    <row r="989">
      <c r="M989" s="172"/>
      <c r="N989" s="172"/>
    </row>
    <row r="990">
      <c r="M990" s="172"/>
      <c r="N990" s="172"/>
    </row>
    <row r="991">
      <c r="M991" s="172"/>
      <c r="N991" s="172"/>
    </row>
    <row r="992">
      <c r="M992" s="172"/>
      <c r="N992" s="172"/>
    </row>
    <row r="993">
      <c r="M993" s="172"/>
      <c r="N993" s="172"/>
    </row>
    <row r="994">
      <c r="M994" s="172"/>
      <c r="N994" s="172"/>
    </row>
    <row r="995">
      <c r="M995" s="172"/>
      <c r="N995" s="172"/>
    </row>
    <row r="996">
      <c r="M996" s="172"/>
      <c r="N996" s="172"/>
    </row>
    <row r="997">
      <c r="M997" s="172"/>
      <c r="N997" s="172"/>
    </row>
    <row r="998">
      <c r="M998" s="172"/>
      <c r="N998" s="172"/>
    </row>
    <row r="999">
      <c r="M999" s="172"/>
      <c r="N999" s="172"/>
    </row>
    <row r="1000">
      <c r="M1000" s="172"/>
      <c r="N1000" s="172"/>
    </row>
    <row r="1001">
      <c r="M1001" s="172"/>
      <c r="N1001" s="172"/>
    </row>
    <row r="1002">
      <c r="M1002" s="172"/>
      <c r="N1002" s="172"/>
    </row>
    <row r="1003">
      <c r="M1003" s="172"/>
      <c r="N1003" s="172"/>
    </row>
    <row r="1004">
      <c r="M1004" s="172"/>
      <c r="N1004" s="172"/>
    </row>
    <row r="1005">
      <c r="M1005" s="172"/>
      <c r="N1005" s="172"/>
    </row>
    <row r="1006">
      <c r="M1006" s="172"/>
      <c r="N1006" s="172"/>
    </row>
    <row r="1007">
      <c r="M1007" s="172"/>
      <c r="N1007" s="172"/>
    </row>
    <row r="1008">
      <c r="M1008" s="172"/>
      <c r="N1008" s="172"/>
    </row>
    <row r="1009">
      <c r="M1009" s="172"/>
      <c r="N1009" s="172"/>
    </row>
    <row r="1010">
      <c r="M1010" s="172"/>
      <c r="N1010" s="172"/>
    </row>
    <row r="1011">
      <c r="M1011" s="172"/>
      <c r="N1011" s="172"/>
    </row>
  </sheetData>
  <mergeCells count="8">
    <mergeCell ref="E1:H1"/>
    <mergeCell ref="I1:L1"/>
    <mergeCell ref="M1:P1"/>
    <mergeCell ref="Q1:T1"/>
    <mergeCell ref="E2:H2"/>
    <mergeCell ref="I2:L2"/>
    <mergeCell ref="M2:P2"/>
    <mergeCell ref="Q2:T2"/>
  </mergeCells>
  <hyperlinks>
    <hyperlink r:id="rId1" ref="A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9.38"/>
    <col customWidth="1" min="3" max="3" width="19.13"/>
    <col customWidth="1" min="4" max="4" width="19.25"/>
  </cols>
  <sheetData>
    <row r="1">
      <c r="A1" s="1" t="s">
        <v>91</v>
      </c>
      <c r="B1" s="82"/>
      <c r="C1" s="2"/>
      <c r="D1" s="3"/>
      <c r="E1" s="4">
        <v>45803.0</v>
      </c>
      <c r="F1" s="5"/>
      <c r="G1" s="5"/>
      <c r="H1" s="6"/>
      <c r="I1" s="4">
        <v>45897.0</v>
      </c>
      <c r="J1" s="5"/>
      <c r="K1" s="5"/>
      <c r="L1" s="6"/>
      <c r="M1" s="4">
        <v>46019.0</v>
      </c>
      <c r="N1" s="5"/>
      <c r="O1" s="5"/>
      <c r="P1" s="6"/>
      <c r="Q1" s="4">
        <v>46023.0</v>
      </c>
      <c r="R1" s="5"/>
      <c r="S1" s="5"/>
      <c r="T1" s="6"/>
      <c r="U1" s="7"/>
      <c r="V1" s="8"/>
      <c r="W1" s="8"/>
      <c r="X1" s="8"/>
      <c r="Y1" s="8"/>
      <c r="Z1" s="9"/>
      <c r="AA1" s="10">
        <v>45931.0</v>
      </c>
      <c r="AB1" s="11"/>
      <c r="AC1" s="11"/>
      <c r="AD1" s="11"/>
      <c r="AE1" s="11"/>
      <c r="AF1" s="12"/>
      <c r="AG1" s="10">
        <v>45962.0</v>
      </c>
      <c r="AH1" s="11"/>
      <c r="AI1" s="11"/>
      <c r="AJ1" s="11"/>
      <c r="AK1" s="11"/>
      <c r="AL1" s="12"/>
      <c r="AM1" s="104"/>
      <c r="AN1" s="104"/>
    </row>
    <row r="2">
      <c r="A2" s="84"/>
      <c r="B2" s="17"/>
      <c r="C2" s="14"/>
      <c r="D2" s="15"/>
      <c r="E2" s="16" t="s">
        <v>1</v>
      </c>
      <c r="F2" s="17"/>
      <c r="G2" s="17"/>
      <c r="H2" s="18"/>
      <c r="I2" s="16" t="s">
        <v>1</v>
      </c>
      <c r="J2" s="17"/>
      <c r="K2" s="17"/>
      <c r="L2" s="18"/>
      <c r="M2" s="16" t="s">
        <v>1</v>
      </c>
      <c r="N2" s="17"/>
      <c r="O2" s="17"/>
      <c r="P2" s="18"/>
      <c r="Q2" s="16" t="s">
        <v>1</v>
      </c>
      <c r="R2" s="17"/>
      <c r="S2" s="17"/>
      <c r="T2" s="18"/>
      <c r="U2" s="16" t="s">
        <v>1</v>
      </c>
      <c r="V2" s="17"/>
      <c r="W2" s="17"/>
      <c r="X2" s="17"/>
      <c r="Y2" s="17"/>
      <c r="Z2" s="19"/>
      <c r="AA2" s="20" t="s">
        <v>1</v>
      </c>
      <c r="AB2" s="21"/>
      <c r="AC2" s="21"/>
      <c r="AD2" s="21"/>
      <c r="AE2" s="21"/>
      <c r="AF2" s="22"/>
      <c r="AG2" s="20" t="s">
        <v>1</v>
      </c>
      <c r="AH2" s="21"/>
      <c r="AI2" s="21"/>
      <c r="AJ2" s="21"/>
      <c r="AK2" s="21"/>
      <c r="AL2" s="22"/>
      <c r="AM2" s="105"/>
      <c r="AN2" s="105"/>
    </row>
    <row r="3">
      <c r="A3" s="23" t="s">
        <v>2</v>
      </c>
      <c r="B3" s="173" t="s">
        <v>3</v>
      </c>
      <c r="C3" s="173" t="s">
        <v>4</v>
      </c>
      <c r="D3" s="24" t="s">
        <v>5</v>
      </c>
      <c r="E3" s="25" t="s">
        <v>6</v>
      </c>
      <c r="F3" s="25" t="s">
        <v>7</v>
      </c>
      <c r="G3" s="25" t="s">
        <v>8</v>
      </c>
      <c r="H3" s="25" t="s">
        <v>17</v>
      </c>
      <c r="I3" s="25" t="s">
        <v>6</v>
      </c>
      <c r="J3" s="25" t="s">
        <v>92</v>
      </c>
      <c r="K3" s="25" t="s">
        <v>13</v>
      </c>
      <c r="L3" s="25" t="s">
        <v>147</v>
      </c>
      <c r="M3" s="25" t="s">
        <v>145</v>
      </c>
      <c r="N3" s="25" t="s">
        <v>12</v>
      </c>
      <c r="O3" s="25" t="s">
        <v>13</v>
      </c>
      <c r="P3" s="25" t="s">
        <v>352</v>
      </c>
      <c r="Q3" s="25" t="s">
        <v>14</v>
      </c>
      <c r="R3" s="25" t="s">
        <v>15</v>
      </c>
      <c r="S3" s="25" t="s">
        <v>16</v>
      </c>
      <c r="T3" s="25" t="s">
        <v>353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6" t="s">
        <v>23</v>
      </c>
      <c r="AA3" s="27" t="s">
        <v>24</v>
      </c>
      <c r="AB3" s="27" t="s">
        <v>25</v>
      </c>
      <c r="AC3" s="27" t="s">
        <v>26</v>
      </c>
      <c r="AD3" s="27" t="s">
        <v>27</v>
      </c>
      <c r="AE3" s="28" t="s">
        <v>28</v>
      </c>
      <c r="AF3" s="28" t="s">
        <v>29</v>
      </c>
      <c r="AG3" s="27" t="s">
        <v>24</v>
      </c>
      <c r="AH3" s="27" t="s">
        <v>25</v>
      </c>
      <c r="AI3" s="27" t="s">
        <v>26</v>
      </c>
      <c r="AJ3" s="27" t="s">
        <v>27</v>
      </c>
      <c r="AK3" s="28" t="s">
        <v>28</v>
      </c>
      <c r="AL3" s="28" t="s">
        <v>29</v>
      </c>
      <c r="AM3" s="106"/>
      <c r="AN3" s="106"/>
    </row>
    <row r="4">
      <c r="A4" s="29"/>
      <c r="B4" s="174"/>
      <c r="C4" s="174"/>
      <c r="D4" s="30"/>
      <c r="E4" s="30"/>
      <c r="F4" s="30"/>
      <c r="G4" s="30"/>
      <c r="H4" s="30"/>
      <c r="I4" s="30"/>
      <c r="J4" s="30"/>
      <c r="K4" s="30"/>
      <c r="L4" s="108"/>
      <c r="M4" s="30"/>
      <c r="N4" s="30"/>
      <c r="O4" s="30"/>
      <c r="P4" s="108"/>
      <c r="Q4" s="31"/>
      <c r="R4" s="31"/>
      <c r="S4" s="31"/>
      <c r="T4" s="31"/>
      <c r="U4" s="30"/>
      <c r="V4" s="30"/>
      <c r="W4" s="30"/>
      <c r="X4" s="30"/>
      <c r="Y4" s="30"/>
      <c r="Z4" s="30"/>
      <c r="AA4" s="30"/>
      <c r="AB4" s="30"/>
      <c r="AC4" s="30"/>
      <c r="AD4" s="32"/>
      <c r="AE4" s="33"/>
      <c r="AF4" s="33"/>
      <c r="AG4" s="30"/>
      <c r="AH4" s="30"/>
      <c r="AI4" s="30"/>
      <c r="AJ4" s="32"/>
      <c r="AK4" s="33"/>
      <c r="AL4" s="33"/>
      <c r="AM4" s="109"/>
      <c r="AN4" s="109"/>
    </row>
    <row r="5">
      <c r="A5" s="34">
        <v>1.0</v>
      </c>
      <c r="B5" s="175" t="s">
        <v>354</v>
      </c>
      <c r="C5" s="175" t="s">
        <v>355</v>
      </c>
      <c r="D5" s="175">
        <v>900627.0</v>
      </c>
      <c r="E5" s="34">
        <v>20.0</v>
      </c>
      <c r="F5" s="34">
        <v>17.0</v>
      </c>
      <c r="G5" s="34">
        <v>20.0</v>
      </c>
      <c r="H5" s="34">
        <v>20.0</v>
      </c>
      <c r="I5" s="34">
        <v>17.0</v>
      </c>
      <c r="J5" s="39">
        <v>18.0</v>
      </c>
      <c r="K5" s="39">
        <v>15.0</v>
      </c>
      <c r="L5" s="39">
        <v>10.0</v>
      </c>
      <c r="M5" s="39">
        <v>12.0</v>
      </c>
      <c r="N5" s="39">
        <v>10.0</v>
      </c>
      <c r="O5" s="39">
        <v>15.0</v>
      </c>
      <c r="P5" s="39">
        <v>14.0</v>
      </c>
      <c r="Q5" s="39">
        <v>33.0</v>
      </c>
      <c r="R5" s="39">
        <v>50.0</v>
      </c>
      <c r="S5" s="39">
        <v>32.0</v>
      </c>
      <c r="T5" s="39">
        <v>45.0</v>
      </c>
      <c r="U5" s="39"/>
      <c r="V5" s="39"/>
      <c r="W5" s="39"/>
      <c r="X5" s="39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</row>
    <row r="6">
      <c r="A6" s="34">
        <v>2.0</v>
      </c>
      <c r="B6" s="175" t="s">
        <v>356</v>
      </c>
      <c r="C6" s="175" t="s">
        <v>357</v>
      </c>
      <c r="D6" s="175">
        <v>900691.0</v>
      </c>
      <c r="E6" s="34">
        <v>12.0</v>
      </c>
      <c r="F6" s="34">
        <v>15.0</v>
      </c>
      <c r="G6" s="34">
        <v>9.0</v>
      </c>
      <c r="H6" s="34">
        <v>16.0</v>
      </c>
      <c r="I6" s="36">
        <v>2.0</v>
      </c>
      <c r="J6" s="41">
        <v>3.0</v>
      </c>
      <c r="K6" s="41">
        <v>6.0</v>
      </c>
      <c r="L6" s="41">
        <v>2.0</v>
      </c>
      <c r="M6" s="39">
        <v>10.0</v>
      </c>
      <c r="N6" s="39">
        <v>12.0</v>
      </c>
      <c r="O6" s="39">
        <v>11.0</v>
      </c>
      <c r="P6" s="39">
        <v>9.0</v>
      </c>
      <c r="Q6" s="41" t="s">
        <v>32</v>
      </c>
      <c r="R6" s="41" t="s">
        <v>32</v>
      </c>
      <c r="S6" s="41" t="s">
        <v>32</v>
      </c>
      <c r="T6" s="41" t="s">
        <v>32</v>
      </c>
      <c r="U6" s="39"/>
      <c r="V6" s="39"/>
      <c r="W6" s="39"/>
      <c r="X6" s="39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</row>
    <row r="7">
      <c r="A7" s="34">
        <v>3.0</v>
      </c>
      <c r="B7" s="175" t="s">
        <v>358</v>
      </c>
      <c r="C7" s="175" t="s">
        <v>359</v>
      </c>
      <c r="D7" s="175">
        <v>901086.0</v>
      </c>
      <c r="E7" s="34">
        <v>19.0</v>
      </c>
      <c r="F7" s="34">
        <v>14.0</v>
      </c>
      <c r="G7" s="34">
        <v>9.0</v>
      </c>
      <c r="H7" s="34">
        <v>11.0</v>
      </c>
      <c r="I7" s="36">
        <v>8.0</v>
      </c>
      <c r="J7" s="41">
        <v>6.0</v>
      </c>
      <c r="K7" s="41">
        <v>5.0</v>
      </c>
      <c r="L7" s="41">
        <v>2.0</v>
      </c>
      <c r="M7" s="41">
        <v>5.0</v>
      </c>
      <c r="N7" s="39">
        <v>8.0</v>
      </c>
      <c r="O7" s="39">
        <v>8.0</v>
      </c>
      <c r="P7" s="41">
        <v>5.0</v>
      </c>
      <c r="Q7" s="41">
        <v>13.0</v>
      </c>
      <c r="R7" s="41">
        <v>21.0</v>
      </c>
      <c r="S7" s="41">
        <v>17.0</v>
      </c>
      <c r="T7" s="41">
        <v>10.0</v>
      </c>
      <c r="U7" s="39"/>
      <c r="V7" s="39"/>
      <c r="W7" s="39"/>
      <c r="X7" s="39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</row>
    <row r="8">
      <c r="A8" s="34">
        <v>4.0</v>
      </c>
      <c r="B8" s="175" t="s">
        <v>360</v>
      </c>
      <c r="C8" s="175" t="s">
        <v>361</v>
      </c>
      <c r="D8" s="175">
        <v>901020.0</v>
      </c>
      <c r="E8" s="34">
        <v>7.0</v>
      </c>
      <c r="F8" s="34">
        <v>11.0</v>
      </c>
      <c r="G8" s="34">
        <v>8.0</v>
      </c>
      <c r="H8" s="34">
        <v>10.0</v>
      </c>
      <c r="I8" s="34">
        <v>12.0</v>
      </c>
      <c r="J8" s="39">
        <v>11.0</v>
      </c>
      <c r="K8" s="41">
        <v>8.0</v>
      </c>
      <c r="L8" s="39">
        <v>10.0</v>
      </c>
      <c r="M8" s="39">
        <v>12.0</v>
      </c>
      <c r="N8" s="39">
        <v>11.0</v>
      </c>
      <c r="O8" s="39">
        <v>14.0</v>
      </c>
      <c r="P8" s="39">
        <v>13.0</v>
      </c>
      <c r="Q8" s="41">
        <v>8.0</v>
      </c>
      <c r="R8" s="39">
        <v>34.0</v>
      </c>
      <c r="S8" s="41">
        <v>13.0</v>
      </c>
      <c r="T8" s="41">
        <v>13.0</v>
      </c>
      <c r="U8" s="41"/>
      <c r="V8" s="41"/>
      <c r="W8" s="41"/>
      <c r="X8" s="39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</row>
    <row r="9">
      <c r="A9" s="34">
        <v>5.0</v>
      </c>
      <c r="B9" s="175" t="s">
        <v>362</v>
      </c>
      <c r="C9" s="175" t="s">
        <v>363</v>
      </c>
      <c r="D9" s="175">
        <v>900528.0</v>
      </c>
      <c r="E9" s="34">
        <v>12.0</v>
      </c>
      <c r="F9" s="36" t="s">
        <v>32</v>
      </c>
      <c r="G9" s="34">
        <v>17.0</v>
      </c>
      <c r="H9" s="34">
        <v>16.0</v>
      </c>
      <c r="I9" s="34">
        <v>13.0</v>
      </c>
      <c r="J9" s="39">
        <v>14.0</v>
      </c>
      <c r="K9" s="39">
        <v>11.0</v>
      </c>
      <c r="L9" s="39">
        <v>7.0</v>
      </c>
      <c r="M9" s="39">
        <v>13.0</v>
      </c>
      <c r="N9" s="39">
        <v>12.0</v>
      </c>
      <c r="O9" s="39">
        <v>15.0</v>
      </c>
      <c r="P9" s="39">
        <v>12.0</v>
      </c>
      <c r="Q9" s="39">
        <v>33.0</v>
      </c>
      <c r="R9" s="39">
        <v>48.0</v>
      </c>
      <c r="S9" s="39">
        <v>35.0</v>
      </c>
      <c r="T9" s="39">
        <v>39.0</v>
      </c>
      <c r="U9" s="39"/>
      <c r="V9" s="39"/>
      <c r="W9" s="39"/>
      <c r="X9" s="39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</row>
    <row r="10">
      <c r="A10" s="34">
        <v>6.0</v>
      </c>
      <c r="B10" s="175" t="s">
        <v>364</v>
      </c>
      <c r="C10" s="175" t="s">
        <v>365</v>
      </c>
      <c r="D10" s="175">
        <v>900631.0</v>
      </c>
      <c r="E10" s="34">
        <v>12.0</v>
      </c>
      <c r="F10" s="34">
        <v>14.0</v>
      </c>
      <c r="G10" s="34">
        <v>19.0</v>
      </c>
      <c r="H10" s="34">
        <v>19.0</v>
      </c>
      <c r="I10" s="34">
        <v>12.0</v>
      </c>
      <c r="J10" s="39">
        <v>10.0</v>
      </c>
      <c r="K10" s="39">
        <v>14.0</v>
      </c>
      <c r="L10" s="39">
        <v>7.0</v>
      </c>
      <c r="M10" s="39">
        <v>13.0</v>
      </c>
      <c r="N10" s="39">
        <v>13.0</v>
      </c>
      <c r="O10" s="39">
        <v>10.0</v>
      </c>
      <c r="P10" s="39">
        <v>12.0</v>
      </c>
      <c r="Q10" s="40">
        <v>29.0</v>
      </c>
      <c r="R10" s="39">
        <v>40.0</v>
      </c>
      <c r="S10" s="41">
        <v>18.0</v>
      </c>
      <c r="T10" s="39">
        <v>37.0</v>
      </c>
      <c r="U10" s="39"/>
      <c r="V10" s="39"/>
      <c r="W10" s="39"/>
      <c r="X10" s="39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</row>
    <row r="11">
      <c r="A11" s="34">
        <v>7.0</v>
      </c>
      <c r="B11" s="175" t="s">
        <v>366</v>
      </c>
      <c r="C11" s="175" t="s">
        <v>367</v>
      </c>
      <c r="D11" s="175">
        <v>900631.0</v>
      </c>
      <c r="E11" s="34">
        <v>17.0</v>
      </c>
      <c r="F11" s="34">
        <v>15.0</v>
      </c>
      <c r="G11" s="34">
        <v>15.0</v>
      </c>
      <c r="H11" s="34">
        <v>19.0</v>
      </c>
      <c r="I11" s="36">
        <v>8.0</v>
      </c>
      <c r="J11" s="41">
        <v>6.0</v>
      </c>
      <c r="K11" s="39">
        <v>10.0</v>
      </c>
      <c r="L11" s="39">
        <v>8.0</v>
      </c>
      <c r="M11" s="39">
        <v>12.0</v>
      </c>
      <c r="N11" s="39">
        <v>13.0</v>
      </c>
      <c r="O11" s="39">
        <v>15.0</v>
      </c>
      <c r="P11" s="39">
        <v>14.0</v>
      </c>
      <c r="Q11" s="39">
        <v>32.0</v>
      </c>
      <c r="R11" s="39">
        <v>41.0</v>
      </c>
      <c r="S11" s="39">
        <v>36.0</v>
      </c>
      <c r="T11" s="39">
        <v>44.0</v>
      </c>
      <c r="U11" s="39"/>
      <c r="V11" s="39"/>
      <c r="W11" s="39"/>
      <c r="X11" s="39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12">
      <c r="A12" s="34">
        <v>8.0</v>
      </c>
      <c r="B12" s="175" t="s">
        <v>368</v>
      </c>
      <c r="C12" s="175" t="s">
        <v>369</v>
      </c>
      <c r="D12" s="175">
        <v>900869.0</v>
      </c>
      <c r="E12" s="34">
        <v>8.0</v>
      </c>
      <c r="F12" s="34">
        <v>11.0</v>
      </c>
      <c r="G12" s="34">
        <v>10.0</v>
      </c>
      <c r="H12" s="34">
        <v>11.0</v>
      </c>
      <c r="I12" s="36">
        <v>6.0</v>
      </c>
      <c r="J12" s="41">
        <v>2.0</v>
      </c>
      <c r="K12" s="41">
        <v>8.0</v>
      </c>
      <c r="L12" s="40">
        <v>5.0</v>
      </c>
      <c r="M12" s="39">
        <v>10.0</v>
      </c>
      <c r="N12" s="39">
        <v>12.0</v>
      </c>
      <c r="O12" s="41">
        <v>7.0</v>
      </c>
      <c r="P12" s="39">
        <v>10.0</v>
      </c>
      <c r="Q12" s="41">
        <v>4.0</v>
      </c>
      <c r="R12" s="41">
        <v>20.0</v>
      </c>
      <c r="S12" s="41">
        <v>21.0</v>
      </c>
      <c r="T12" s="41">
        <v>13.0</v>
      </c>
      <c r="U12" s="39"/>
      <c r="V12" s="39"/>
      <c r="W12" s="39"/>
      <c r="X12" s="39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>
      <c r="A13" s="34">
        <v>9.0</v>
      </c>
      <c r="B13" s="175" t="s">
        <v>51</v>
      </c>
      <c r="C13" s="175" t="s">
        <v>370</v>
      </c>
      <c r="D13" s="175">
        <v>900742.0</v>
      </c>
      <c r="E13" s="34">
        <v>8.0</v>
      </c>
      <c r="F13" s="34">
        <v>15.0</v>
      </c>
      <c r="G13" s="34">
        <v>12.0</v>
      </c>
      <c r="H13" s="34">
        <v>12.0</v>
      </c>
      <c r="I13" s="34">
        <v>9.0</v>
      </c>
      <c r="J13" s="41">
        <v>8.0</v>
      </c>
      <c r="K13" s="39">
        <v>14.0</v>
      </c>
      <c r="L13" s="40">
        <v>6.0</v>
      </c>
      <c r="M13" s="39">
        <v>12.0</v>
      </c>
      <c r="N13" s="39">
        <v>10.0</v>
      </c>
      <c r="O13" s="39">
        <v>12.0</v>
      </c>
      <c r="P13" s="39">
        <v>11.0</v>
      </c>
      <c r="Q13" s="39">
        <v>28.0</v>
      </c>
      <c r="R13" s="39">
        <v>30.0</v>
      </c>
      <c r="S13" s="39">
        <v>34.0</v>
      </c>
      <c r="T13" s="39">
        <v>36.0</v>
      </c>
      <c r="U13" s="39"/>
      <c r="V13" s="39"/>
      <c r="W13" s="39"/>
      <c r="X13" s="39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</row>
    <row r="14">
      <c r="A14" s="34">
        <v>10.0</v>
      </c>
      <c r="B14" s="175" t="s">
        <v>371</v>
      </c>
      <c r="C14" s="175" t="s">
        <v>372</v>
      </c>
      <c r="D14" s="175">
        <v>900654.0</v>
      </c>
      <c r="E14" s="34">
        <v>8.0</v>
      </c>
      <c r="F14" s="34">
        <v>7.0</v>
      </c>
      <c r="G14" s="34">
        <v>6.0</v>
      </c>
      <c r="H14" s="36" t="s">
        <v>32</v>
      </c>
      <c r="I14" s="36">
        <v>5.0</v>
      </c>
      <c r="J14" s="41">
        <v>6.0</v>
      </c>
      <c r="K14" s="41">
        <v>6.0</v>
      </c>
      <c r="L14" s="40">
        <v>5.0</v>
      </c>
      <c r="M14" s="39">
        <v>12.0</v>
      </c>
      <c r="N14" s="39">
        <v>13.0</v>
      </c>
      <c r="O14" s="39">
        <v>10.0</v>
      </c>
      <c r="P14" s="41">
        <v>0.0</v>
      </c>
      <c r="Q14" s="41">
        <v>7.0</v>
      </c>
      <c r="R14" s="41">
        <v>3.0</v>
      </c>
      <c r="S14" s="41">
        <v>20.0</v>
      </c>
      <c r="T14" s="41">
        <v>11.0</v>
      </c>
      <c r="U14" s="39"/>
      <c r="V14" s="39"/>
      <c r="W14" s="39"/>
      <c r="X14" s="39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</row>
    <row r="15">
      <c r="A15" s="34">
        <v>11.0</v>
      </c>
      <c r="B15" s="176" t="s">
        <v>373</v>
      </c>
      <c r="C15" s="176" t="s">
        <v>374</v>
      </c>
      <c r="D15" s="176">
        <v>900603.0</v>
      </c>
      <c r="E15" s="36" t="s">
        <v>32</v>
      </c>
      <c r="F15" s="34">
        <v>14.0</v>
      </c>
      <c r="G15" s="34">
        <v>10.0</v>
      </c>
      <c r="H15" s="34">
        <v>17.0</v>
      </c>
      <c r="I15" s="36">
        <v>8.0</v>
      </c>
      <c r="J15" s="39">
        <v>10.0</v>
      </c>
      <c r="K15" s="39">
        <v>13.0</v>
      </c>
      <c r="L15" s="39">
        <v>7.0</v>
      </c>
      <c r="M15" s="39">
        <v>13.0</v>
      </c>
      <c r="N15" s="39">
        <v>10.0</v>
      </c>
      <c r="O15" s="39">
        <v>10.0</v>
      </c>
      <c r="P15" s="39">
        <v>14.0</v>
      </c>
      <c r="Q15" s="39">
        <v>25.0</v>
      </c>
      <c r="R15" s="39">
        <v>32.0</v>
      </c>
      <c r="S15" s="39">
        <v>50.0</v>
      </c>
      <c r="T15" s="39">
        <v>25.0</v>
      </c>
      <c r="U15" s="39"/>
      <c r="V15" s="39"/>
      <c r="W15" s="39"/>
      <c r="X15" s="39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</row>
    <row r="16">
      <c r="A16" s="34">
        <v>12.0</v>
      </c>
      <c r="B16" s="176" t="s">
        <v>375</v>
      </c>
      <c r="C16" s="176" t="s">
        <v>374</v>
      </c>
      <c r="D16" s="176">
        <v>900607.0</v>
      </c>
      <c r="E16" s="34">
        <v>16.0</v>
      </c>
      <c r="F16" s="34">
        <v>14.0</v>
      </c>
      <c r="G16" s="34">
        <v>10.0</v>
      </c>
      <c r="H16" s="34">
        <v>18.0</v>
      </c>
      <c r="I16" s="36">
        <v>7.0</v>
      </c>
      <c r="J16" s="41">
        <v>6.0</v>
      </c>
      <c r="K16" s="41" t="s">
        <v>32</v>
      </c>
      <c r="L16" s="38">
        <v>6.0</v>
      </c>
      <c r="M16" s="39">
        <v>10.0</v>
      </c>
      <c r="N16" s="39">
        <v>12.0</v>
      </c>
      <c r="O16" s="41">
        <v>3.0</v>
      </c>
      <c r="P16" s="39">
        <v>11.0</v>
      </c>
      <c r="Q16" s="39">
        <v>25.0</v>
      </c>
      <c r="R16" s="41">
        <v>19.0</v>
      </c>
      <c r="S16" s="39">
        <v>26.0</v>
      </c>
      <c r="T16" s="41">
        <v>19.0</v>
      </c>
      <c r="U16" s="39"/>
      <c r="V16" s="39"/>
      <c r="W16" s="39"/>
      <c r="X16" s="39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</row>
    <row r="17">
      <c r="A17" s="34">
        <v>13.0</v>
      </c>
      <c r="B17" s="176" t="s">
        <v>376</v>
      </c>
      <c r="C17" s="176" t="s">
        <v>377</v>
      </c>
      <c r="D17" s="176">
        <v>901067.0</v>
      </c>
      <c r="E17" s="177"/>
      <c r="F17" s="177"/>
      <c r="G17" s="177"/>
      <c r="H17" s="177"/>
      <c r="I17" s="44">
        <v>8.0</v>
      </c>
      <c r="J17" s="50">
        <v>11.0</v>
      </c>
      <c r="K17" s="50">
        <v>16.0</v>
      </c>
      <c r="L17" s="50">
        <v>5.0</v>
      </c>
      <c r="M17" s="50">
        <v>12.0</v>
      </c>
      <c r="N17" s="50">
        <v>10.0</v>
      </c>
      <c r="O17" s="50">
        <v>15.0</v>
      </c>
      <c r="P17" s="44">
        <v>7.0</v>
      </c>
      <c r="Q17" s="50">
        <v>33.0</v>
      </c>
      <c r="R17" s="50">
        <v>32.0</v>
      </c>
      <c r="S17" s="50">
        <v>25.0</v>
      </c>
      <c r="T17" s="50">
        <v>29.0</v>
      </c>
      <c r="U17" s="50"/>
      <c r="V17" s="50"/>
      <c r="W17" s="50"/>
      <c r="X17" s="50"/>
      <c r="Y17" s="49"/>
      <c r="Z17" s="49"/>
      <c r="AA17" s="49"/>
      <c r="AB17" s="49"/>
      <c r="AC17" s="49"/>
      <c r="AD17" s="42"/>
      <c r="AE17" s="42"/>
      <c r="AF17" s="42"/>
      <c r="AG17" s="42"/>
      <c r="AH17" s="42"/>
      <c r="AI17" s="42"/>
      <c r="AJ17" s="42"/>
      <c r="AK17" s="42"/>
      <c r="AL17" s="42"/>
    </row>
    <row r="18">
      <c r="A18" s="39">
        <v>14.0</v>
      </c>
      <c r="B18" s="178" t="s">
        <v>378</v>
      </c>
      <c r="C18" s="178" t="s">
        <v>379</v>
      </c>
      <c r="D18" s="178">
        <v>900634.0</v>
      </c>
      <c r="E18" s="39">
        <v>15.0</v>
      </c>
      <c r="F18" s="39">
        <v>10.0</v>
      </c>
      <c r="G18" s="39">
        <v>8.0</v>
      </c>
      <c r="H18" s="39">
        <v>5.0</v>
      </c>
      <c r="I18" s="39"/>
      <c r="J18" s="39">
        <v>7.0</v>
      </c>
      <c r="K18" s="39">
        <v>6.0</v>
      </c>
      <c r="L18" s="39">
        <v>6.0</v>
      </c>
      <c r="M18" s="39">
        <v>11.0</v>
      </c>
      <c r="N18" s="39">
        <v>12.0</v>
      </c>
      <c r="O18" s="39">
        <v>12.0</v>
      </c>
      <c r="P18" s="39">
        <v>13.0</v>
      </c>
      <c r="Q18" s="39"/>
      <c r="R18" s="39"/>
      <c r="S18" s="39"/>
      <c r="T18" s="39"/>
      <c r="U18" s="42"/>
      <c r="V18" s="39"/>
      <c r="W18" s="39"/>
      <c r="X18" s="39"/>
      <c r="Y18" s="39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</row>
    <row r="19">
      <c r="A19" s="39">
        <v>15.0</v>
      </c>
      <c r="B19" s="178" t="s">
        <v>380</v>
      </c>
      <c r="C19" s="178" t="s">
        <v>381</v>
      </c>
      <c r="D19" s="178">
        <v>900835.0</v>
      </c>
      <c r="E19" s="39">
        <v>6.0</v>
      </c>
      <c r="F19" s="39">
        <v>11.0</v>
      </c>
      <c r="G19" s="39">
        <v>15.0</v>
      </c>
      <c r="H19" s="39" t="s">
        <v>32</v>
      </c>
      <c r="I19" s="39"/>
      <c r="J19" s="41">
        <v>4.0</v>
      </c>
      <c r="K19" s="39">
        <v>6.0</v>
      </c>
      <c r="L19" s="39">
        <v>8.0</v>
      </c>
      <c r="M19" s="39">
        <v>10.0</v>
      </c>
      <c r="N19" s="39">
        <v>10.0</v>
      </c>
      <c r="O19" s="39">
        <v>15.0</v>
      </c>
      <c r="P19" s="41">
        <v>7.0</v>
      </c>
      <c r="Q19" s="41">
        <v>17.0</v>
      </c>
      <c r="R19" s="41">
        <v>22.0</v>
      </c>
      <c r="S19" s="41">
        <v>18.0</v>
      </c>
      <c r="T19" s="39">
        <v>26.0</v>
      </c>
      <c r="U19" s="42"/>
      <c r="V19" s="39"/>
      <c r="W19" s="39"/>
      <c r="X19" s="39"/>
      <c r="Y19" s="39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</row>
    <row r="20">
      <c r="A20" s="39">
        <v>16.0</v>
      </c>
      <c r="B20" s="178" t="s">
        <v>382</v>
      </c>
      <c r="C20" s="178" t="s">
        <v>383</v>
      </c>
      <c r="D20" s="178">
        <v>900321.0</v>
      </c>
      <c r="E20" s="39">
        <v>4.0</v>
      </c>
      <c r="F20" s="39">
        <v>7.0</v>
      </c>
      <c r="G20" s="39">
        <v>8.0</v>
      </c>
      <c r="H20" s="39">
        <v>5.0</v>
      </c>
      <c r="I20" s="39"/>
      <c r="J20" s="39">
        <v>5.0</v>
      </c>
      <c r="K20" s="39">
        <v>6.0</v>
      </c>
      <c r="L20" s="39">
        <v>5.0</v>
      </c>
      <c r="M20" s="41">
        <v>7.0</v>
      </c>
      <c r="N20" s="39">
        <v>8.0</v>
      </c>
      <c r="O20" s="39">
        <v>15.0</v>
      </c>
      <c r="P20" s="41">
        <v>0.0</v>
      </c>
      <c r="Q20" s="41">
        <v>7.0</v>
      </c>
      <c r="R20" s="41">
        <v>11.0</v>
      </c>
      <c r="S20" s="40">
        <v>25.0</v>
      </c>
      <c r="T20" s="41">
        <v>14.0</v>
      </c>
      <c r="U20" s="42"/>
      <c r="V20" s="39"/>
      <c r="W20" s="39"/>
      <c r="X20" s="39"/>
      <c r="Y20" s="39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</row>
    <row r="21">
      <c r="A21" s="39">
        <v>17.0</v>
      </c>
      <c r="B21" s="178" t="s">
        <v>384</v>
      </c>
      <c r="C21" s="178" t="s">
        <v>385</v>
      </c>
      <c r="D21" s="178">
        <v>900337.0</v>
      </c>
      <c r="E21" s="39">
        <v>8.0</v>
      </c>
      <c r="F21" s="39">
        <v>11.0</v>
      </c>
      <c r="G21" s="39">
        <v>17.0</v>
      </c>
      <c r="H21" s="39">
        <v>5.0</v>
      </c>
      <c r="I21" s="39"/>
      <c r="J21" s="39">
        <v>6.0</v>
      </c>
      <c r="K21" s="39">
        <v>8.0</v>
      </c>
      <c r="L21" s="39">
        <v>9.0</v>
      </c>
      <c r="M21" s="39">
        <v>10.0</v>
      </c>
      <c r="N21" s="39">
        <v>8.0</v>
      </c>
      <c r="O21" s="39">
        <v>15.0</v>
      </c>
      <c r="P21" s="41">
        <v>7.0</v>
      </c>
      <c r="Q21" s="39">
        <v>23.0</v>
      </c>
      <c r="R21" s="39">
        <v>31.0</v>
      </c>
      <c r="S21" s="39">
        <v>27.0</v>
      </c>
      <c r="T21" s="39">
        <v>25.0</v>
      </c>
      <c r="U21" s="42"/>
      <c r="V21" s="39"/>
      <c r="W21" s="39"/>
      <c r="X21" s="39"/>
      <c r="Y21" s="39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</row>
    <row r="22">
      <c r="A22" s="39">
        <v>18.0</v>
      </c>
      <c r="B22" s="178" t="s">
        <v>386</v>
      </c>
      <c r="C22" s="178" t="s">
        <v>387</v>
      </c>
      <c r="D22" s="178">
        <v>900322.0</v>
      </c>
      <c r="E22" s="41">
        <v>4.0</v>
      </c>
      <c r="F22" s="41">
        <v>15.0</v>
      </c>
      <c r="G22" s="41">
        <v>18.0</v>
      </c>
      <c r="H22" s="39">
        <v>11.0</v>
      </c>
      <c r="I22" s="39"/>
      <c r="J22" s="39">
        <v>7.0</v>
      </c>
      <c r="K22" s="39">
        <v>7.0</v>
      </c>
      <c r="L22" s="39">
        <v>6.0</v>
      </c>
      <c r="M22" s="39">
        <v>10.0</v>
      </c>
      <c r="N22" s="39">
        <v>9.0</v>
      </c>
      <c r="O22" s="39">
        <v>15.0</v>
      </c>
      <c r="P22" s="39">
        <v>12.0</v>
      </c>
      <c r="Q22" s="39">
        <v>25.0</v>
      </c>
      <c r="R22" s="39">
        <v>36.0</v>
      </c>
      <c r="S22" s="39">
        <v>21.0</v>
      </c>
      <c r="T22" s="39">
        <v>43.0</v>
      </c>
      <c r="U22" s="42"/>
      <c r="V22" s="39"/>
      <c r="W22" s="39"/>
      <c r="X22" s="39"/>
      <c r="Y22" s="39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</row>
    <row r="23">
      <c r="A23" s="39">
        <v>19.0</v>
      </c>
      <c r="B23" s="176" t="s">
        <v>388</v>
      </c>
      <c r="C23" s="178" t="s">
        <v>385</v>
      </c>
      <c r="D23" s="178">
        <v>900339.0</v>
      </c>
      <c r="E23" s="41">
        <v>16.0</v>
      </c>
      <c r="F23" s="41">
        <v>15.0</v>
      </c>
      <c r="G23" s="41">
        <v>15.0</v>
      </c>
      <c r="H23" s="80"/>
      <c r="I23" s="39">
        <v>10.0</v>
      </c>
      <c r="J23" s="41">
        <v>4.0</v>
      </c>
      <c r="K23" s="41">
        <v>4.0</v>
      </c>
      <c r="L23" s="39">
        <v>9.0</v>
      </c>
      <c r="M23" s="41">
        <v>5.0</v>
      </c>
      <c r="N23" s="41">
        <v>5.0</v>
      </c>
      <c r="O23" s="41">
        <v>4.0</v>
      </c>
      <c r="P23" s="41">
        <v>10.0</v>
      </c>
      <c r="Q23" s="39">
        <v>30.0</v>
      </c>
      <c r="R23" s="39">
        <v>34.0</v>
      </c>
      <c r="S23" s="41">
        <v>20.0</v>
      </c>
      <c r="T23" s="39">
        <v>34.0</v>
      </c>
      <c r="U23" s="39"/>
      <c r="V23" s="42"/>
      <c r="W23" s="41"/>
      <c r="X23" s="41"/>
      <c r="Y23" s="41"/>
      <c r="Z23" s="39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</row>
    <row r="24">
      <c r="A24" s="39">
        <v>20.0</v>
      </c>
      <c r="B24" s="176" t="s">
        <v>389</v>
      </c>
      <c r="C24" s="178" t="s">
        <v>390</v>
      </c>
      <c r="D24" s="178">
        <v>900633.0</v>
      </c>
      <c r="E24" s="41">
        <v>20.0</v>
      </c>
      <c r="F24" s="41">
        <v>18.0</v>
      </c>
      <c r="G24" s="41">
        <v>20.0</v>
      </c>
      <c r="H24" s="80"/>
      <c r="I24" s="39">
        <v>18.0</v>
      </c>
      <c r="J24" s="39">
        <v>9.0</v>
      </c>
      <c r="K24" s="39">
        <v>9.0</v>
      </c>
      <c r="L24" s="39">
        <v>9.0</v>
      </c>
      <c r="M24" s="39">
        <v>15.0</v>
      </c>
      <c r="N24" s="39">
        <v>14.0</v>
      </c>
      <c r="O24" s="39">
        <v>15.0</v>
      </c>
      <c r="P24" s="41">
        <v>15.0</v>
      </c>
      <c r="Q24" s="39">
        <v>40.0</v>
      </c>
      <c r="R24" s="39">
        <v>49.0</v>
      </c>
      <c r="S24" s="41">
        <v>28.0</v>
      </c>
      <c r="T24" s="39">
        <v>46.0</v>
      </c>
      <c r="U24" s="39"/>
      <c r="V24" s="42"/>
      <c r="W24" s="39"/>
      <c r="X24" s="39"/>
      <c r="Y24" s="39"/>
      <c r="Z24" s="39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</row>
    <row r="25">
      <c r="A25" s="39">
        <v>21.0</v>
      </c>
      <c r="B25" s="176" t="s">
        <v>391</v>
      </c>
      <c r="C25" s="178" t="s">
        <v>392</v>
      </c>
      <c r="D25" s="178">
        <v>900499.0</v>
      </c>
      <c r="E25" s="41">
        <v>13.0</v>
      </c>
      <c r="F25" s="41">
        <v>10.0</v>
      </c>
      <c r="G25" s="41">
        <v>14.0</v>
      </c>
      <c r="H25" s="80"/>
      <c r="I25" s="39">
        <v>10.0</v>
      </c>
      <c r="J25" s="41">
        <v>0.0</v>
      </c>
      <c r="K25" s="41">
        <v>0.0</v>
      </c>
      <c r="L25" s="41">
        <v>0.0</v>
      </c>
      <c r="M25" s="40">
        <v>8.0</v>
      </c>
      <c r="N25" s="39">
        <v>10.0</v>
      </c>
      <c r="O25" s="39">
        <v>15.0</v>
      </c>
      <c r="P25" s="41">
        <v>2.0</v>
      </c>
      <c r="Q25" s="41">
        <v>4.0</v>
      </c>
      <c r="R25" s="41">
        <v>6.0</v>
      </c>
      <c r="S25" s="41">
        <v>10.0</v>
      </c>
      <c r="T25" s="41">
        <v>6.0</v>
      </c>
      <c r="U25" s="41"/>
      <c r="V25" s="42"/>
      <c r="W25" s="39"/>
      <c r="X25" s="39"/>
      <c r="Y25" s="39"/>
      <c r="Z25" s="39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</row>
    <row r="26">
      <c r="A26" s="39">
        <v>22.0</v>
      </c>
      <c r="B26" s="176" t="s">
        <v>393</v>
      </c>
      <c r="C26" s="178" t="s">
        <v>394</v>
      </c>
      <c r="D26" s="178">
        <v>900595.0</v>
      </c>
      <c r="E26" s="39" t="s">
        <v>32</v>
      </c>
      <c r="F26" s="39" t="s">
        <v>32</v>
      </c>
      <c r="G26" s="39" t="s">
        <v>32</v>
      </c>
      <c r="H26" s="80"/>
      <c r="I26" s="39" t="s">
        <v>32</v>
      </c>
      <c r="J26" s="41">
        <v>4.0</v>
      </c>
      <c r="K26" s="41">
        <v>4.0</v>
      </c>
      <c r="L26" s="41">
        <v>3.0</v>
      </c>
      <c r="M26" s="41">
        <v>4.0</v>
      </c>
      <c r="N26" s="41">
        <v>6.0</v>
      </c>
      <c r="O26" s="41">
        <v>3.0</v>
      </c>
      <c r="P26" s="41">
        <v>0.0</v>
      </c>
      <c r="Q26" s="41">
        <v>12.0</v>
      </c>
      <c r="R26" s="41">
        <v>9.0</v>
      </c>
      <c r="S26" s="41">
        <v>18.0</v>
      </c>
      <c r="T26" s="41">
        <v>14.0</v>
      </c>
      <c r="U26" s="39"/>
      <c r="V26" s="42"/>
      <c r="W26" s="39"/>
      <c r="X26" s="39"/>
      <c r="Y26" s="39"/>
      <c r="Z26" s="39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</row>
    <row r="27">
      <c r="A27" s="39">
        <v>23.0</v>
      </c>
      <c r="B27" s="176" t="s">
        <v>68</v>
      </c>
      <c r="C27" s="178" t="s">
        <v>395</v>
      </c>
      <c r="D27" s="178">
        <v>900733.0</v>
      </c>
      <c r="E27" s="39">
        <v>20.0</v>
      </c>
      <c r="F27" s="39">
        <v>20.0</v>
      </c>
      <c r="G27" s="39">
        <v>20.0</v>
      </c>
      <c r="H27" s="80"/>
      <c r="I27" s="39">
        <v>20.0</v>
      </c>
      <c r="J27" s="39">
        <v>10.0</v>
      </c>
      <c r="K27" s="39">
        <v>10.0</v>
      </c>
      <c r="L27" s="39">
        <v>10.0</v>
      </c>
      <c r="M27" s="39">
        <v>15.0</v>
      </c>
      <c r="N27" s="39">
        <v>14.0</v>
      </c>
      <c r="O27" s="39">
        <v>15.0</v>
      </c>
      <c r="P27" s="39">
        <v>45.0</v>
      </c>
      <c r="Q27" s="39">
        <v>48.0</v>
      </c>
      <c r="R27" s="39">
        <v>50.0</v>
      </c>
      <c r="S27" s="39">
        <v>50.0</v>
      </c>
      <c r="T27" s="39">
        <v>47.0</v>
      </c>
      <c r="U27" s="39"/>
      <c r="V27" s="42"/>
      <c r="W27" s="39"/>
      <c r="X27" s="39"/>
      <c r="Y27" s="39"/>
      <c r="Z27" s="39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>
      <c r="A28" s="39">
        <v>24.0</v>
      </c>
      <c r="B28" s="176" t="s">
        <v>396</v>
      </c>
      <c r="C28" s="178" t="s">
        <v>397</v>
      </c>
      <c r="D28" s="178">
        <v>900617.0</v>
      </c>
      <c r="E28" s="39">
        <v>6.0</v>
      </c>
      <c r="F28" s="39">
        <v>11.0</v>
      </c>
      <c r="G28" s="39">
        <v>10.0</v>
      </c>
      <c r="H28" s="80"/>
      <c r="I28" s="39">
        <v>10.0</v>
      </c>
      <c r="J28" s="41">
        <v>4.0</v>
      </c>
      <c r="K28" s="41">
        <v>4.0</v>
      </c>
      <c r="L28" s="39">
        <v>5.0</v>
      </c>
      <c r="M28" s="40">
        <v>10.0</v>
      </c>
      <c r="N28" s="39">
        <v>10.0</v>
      </c>
      <c r="O28" s="39">
        <v>10.0</v>
      </c>
      <c r="P28" s="41">
        <v>8.0</v>
      </c>
      <c r="Q28" s="41">
        <v>17.0</v>
      </c>
      <c r="R28" s="39">
        <v>30.0</v>
      </c>
      <c r="S28" s="39">
        <v>25.0</v>
      </c>
      <c r="T28" s="41">
        <v>17.0</v>
      </c>
      <c r="U28" s="39"/>
      <c r="V28" s="42"/>
      <c r="W28" s="39"/>
      <c r="X28" s="39"/>
      <c r="Y28" s="39"/>
      <c r="Z28" s="39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</row>
    <row r="29">
      <c r="A29" s="39">
        <v>25.0</v>
      </c>
      <c r="B29" s="175" t="s">
        <v>398</v>
      </c>
      <c r="C29" s="175" t="s">
        <v>399</v>
      </c>
      <c r="D29" s="175">
        <v>900626.0</v>
      </c>
      <c r="E29" s="80"/>
      <c r="F29" s="80"/>
      <c r="G29" s="80"/>
      <c r="H29" s="80"/>
      <c r="I29" s="80"/>
      <c r="J29" s="39">
        <v>8.0</v>
      </c>
      <c r="K29" s="41" t="s">
        <v>32</v>
      </c>
      <c r="L29" s="41" t="s">
        <v>32</v>
      </c>
      <c r="M29" s="40">
        <v>11.0</v>
      </c>
      <c r="N29" s="39">
        <v>10.0</v>
      </c>
      <c r="O29" s="39">
        <v>15.0</v>
      </c>
      <c r="P29" s="41">
        <v>11.0</v>
      </c>
      <c r="Q29" s="41">
        <v>15.0</v>
      </c>
      <c r="R29" s="41">
        <v>20.0</v>
      </c>
      <c r="S29" s="41">
        <v>18.0</v>
      </c>
      <c r="T29" s="41">
        <v>21.0</v>
      </c>
      <c r="U29" s="41"/>
      <c r="V29" s="42"/>
      <c r="W29" s="41"/>
      <c r="X29" s="41"/>
      <c r="Y29" s="41"/>
      <c r="Z29" s="110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</row>
    <row r="30">
      <c r="A30" s="39">
        <v>26.0</v>
      </c>
      <c r="B30" s="176" t="s">
        <v>400</v>
      </c>
      <c r="C30" s="179"/>
      <c r="D30" s="180"/>
      <c r="E30" s="49"/>
      <c r="F30" s="49"/>
      <c r="G30" s="49"/>
      <c r="H30" s="49"/>
      <c r="I30" s="181"/>
      <c r="J30" s="181"/>
      <c r="K30" s="181"/>
      <c r="L30" s="181"/>
      <c r="M30" s="50">
        <v>9.0</v>
      </c>
      <c r="N30" s="50">
        <v>10.0</v>
      </c>
      <c r="O30" s="50">
        <v>12.0</v>
      </c>
      <c r="P30" s="44">
        <v>8.0</v>
      </c>
      <c r="Q30" s="50">
        <v>28.0</v>
      </c>
      <c r="R30" s="44">
        <v>19.0</v>
      </c>
      <c r="S30" s="50">
        <v>27.0</v>
      </c>
      <c r="T30" s="44">
        <v>20.0</v>
      </c>
      <c r="U30" s="49"/>
      <c r="V30" s="49"/>
      <c r="W30" s="49"/>
      <c r="X30" s="49"/>
      <c r="Y30" s="49"/>
      <c r="Z30" s="49"/>
      <c r="AA30" s="49"/>
      <c r="AB30" s="49"/>
      <c r="AC30" s="49"/>
      <c r="AD30" s="42"/>
      <c r="AE30" s="42"/>
      <c r="AF30" s="42"/>
      <c r="AG30" s="42"/>
      <c r="AH30" s="42"/>
      <c r="AI30" s="42"/>
      <c r="AJ30" s="42"/>
      <c r="AK30" s="42"/>
      <c r="AL30" s="42"/>
    </row>
    <row r="31">
      <c r="A31" s="39">
        <v>27.0</v>
      </c>
      <c r="B31" s="176" t="s">
        <v>401</v>
      </c>
      <c r="C31" s="179"/>
      <c r="D31" s="180"/>
      <c r="E31" s="49"/>
      <c r="F31" s="49"/>
      <c r="G31" s="49"/>
      <c r="H31" s="49"/>
      <c r="I31" s="181"/>
      <c r="J31" s="181"/>
      <c r="K31" s="181"/>
      <c r="L31" s="181"/>
      <c r="M31" s="44">
        <v>5.0</v>
      </c>
      <c r="N31" s="44">
        <v>4.0</v>
      </c>
      <c r="O31" s="50">
        <v>13.0</v>
      </c>
      <c r="P31" s="44">
        <v>3.0</v>
      </c>
      <c r="Q31" s="44">
        <v>10.0</v>
      </c>
      <c r="R31" s="44">
        <v>12.0</v>
      </c>
      <c r="S31" s="50">
        <v>26.0</v>
      </c>
      <c r="T31" s="44">
        <v>13.0</v>
      </c>
      <c r="U31" s="49"/>
      <c r="V31" s="49"/>
      <c r="W31" s="49"/>
      <c r="X31" s="49"/>
      <c r="Y31" s="49"/>
      <c r="Z31" s="49"/>
      <c r="AA31" s="49"/>
      <c r="AB31" s="49"/>
      <c r="AC31" s="49"/>
      <c r="AD31" s="42"/>
      <c r="AE31" s="42"/>
      <c r="AF31" s="42"/>
      <c r="AG31" s="42"/>
      <c r="AH31" s="42"/>
      <c r="AI31" s="42"/>
      <c r="AJ31" s="42"/>
      <c r="AK31" s="42"/>
      <c r="AL31" s="42"/>
    </row>
    <row r="32">
      <c r="A32" s="39">
        <v>28.0</v>
      </c>
      <c r="B32" s="176" t="s">
        <v>402</v>
      </c>
      <c r="C32" s="179"/>
      <c r="D32" s="180"/>
      <c r="E32" s="49"/>
      <c r="F32" s="49"/>
      <c r="G32" s="49"/>
      <c r="H32" s="49"/>
      <c r="I32" s="181"/>
      <c r="J32" s="181"/>
      <c r="K32" s="181"/>
      <c r="L32" s="181"/>
      <c r="M32" s="50">
        <v>10.0</v>
      </c>
      <c r="N32" s="50">
        <v>8.0</v>
      </c>
      <c r="O32" s="50">
        <v>15.0</v>
      </c>
      <c r="P32" s="50">
        <v>11.0</v>
      </c>
      <c r="Q32" s="50">
        <v>25.0</v>
      </c>
      <c r="R32" s="50">
        <v>42.0</v>
      </c>
      <c r="S32" s="50">
        <v>25.0</v>
      </c>
      <c r="T32" s="50">
        <v>37.0</v>
      </c>
      <c r="U32" s="49"/>
      <c r="V32" s="49"/>
      <c r="W32" s="49"/>
      <c r="X32" s="49"/>
      <c r="Y32" s="49"/>
      <c r="Z32" s="49"/>
      <c r="AA32" s="49"/>
      <c r="AB32" s="49"/>
      <c r="AC32" s="49"/>
      <c r="AD32" s="42"/>
      <c r="AE32" s="42"/>
      <c r="AF32" s="42"/>
      <c r="AG32" s="42"/>
      <c r="AH32" s="42"/>
      <c r="AI32" s="42"/>
      <c r="AJ32" s="42"/>
      <c r="AK32" s="42"/>
      <c r="AL32" s="42"/>
    </row>
    <row r="33">
      <c r="A33" s="39">
        <v>29.0</v>
      </c>
      <c r="B33" s="176" t="s">
        <v>403</v>
      </c>
      <c r="C33" s="179"/>
      <c r="D33" s="180"/>
      <c r="E33" s="49"/>
      <c r="F33" s="49"/>
      <c r="G33" s="49"/>
      <c r="H33" s="49"/>
      <c r="I33" s="181"/>
      <c r="J33" s="181"/>
      <c r="K33" s="181"/>
      <c r="L33" s="181"/>
      <c r="M33" s="50">
        <v>13.0</v>
      </c>
      <c r="N33" s="50">
        <v>13.0</v>
      </c>
      <c r="O33" s="50">
        <v>15.0</v>
      </c>
      <c r="P33" s="50">
        <v>14.0</v>
      </c>
      <c r="Q33" s="50">
        <v>35.0</v>
      </c>
      <c r="R33" s="50">
        <v>39.0</v>
      </c>
      <c r="S33" s="50">
        <v>25.0</v>
      </c>
      <c r="T33" s="50">
        <v>41.0</v>
      </c>
      <c r="U33" s="49"/>
      <c r="V33" s="49"/>
      <c r="W33" s="49"/>
      <c r="X33" s="49"/>
      <c r="Y33" s="49"/>
      <c r="Z33" s="49"/>
      <c r="AA33" s="49"/>
      <c r="AB33" s="49"/>
      <c r="AC33" s="49"/>
      <c r="AD33" s="42"/>
      <c r="AE33" s="42"/>
      <c r="AF33" s="42"/>
      <c r="AG33" s="42"/>
      <c r="AH33" s="42"/>
      <c r="AI33" s="42"/>
      <c r="AJ33" s="42"/>
      <c r="AK33" s="42"/>
      <c r="AL33" s="42"/>
    </row>
    <row r="34">
      <c r="A34" s="39">
        <v>30.0</v>
      </c>
      <c r="B34" s="176" t="s">
        <v>404</v>
      </c>
      <c r="C34" s="179"/>
      <c r="D34" s="180"/>
      <c r="E34" s="49"/>
      <c r="F34" s="49"/>
      <c r="G34" s="49"/>
      <c r="H34" s="49"/>
      <c r="I34" s="181"/>
      <c r="J34" s="181"/>
      <c r="K34" s="181"/>
      <c r="L34" s="181"/>
      <c r="M34" s="50" t="s">
        <v>127</v>
      </c>
      <c r="N34" s="50" t="s">
        <v>135</v>
      </c>
      <c r="O34" s="50" t="s">
        <v>135</v>
      </c>
      <c r="P34" s="50" t="s">
        <v>135</v>
      </c>
      <c r="Q34" s="50">
        <v>35.0</v>
      </c>
      <c r="R34" s="50">
        <v>45.0</v>
      </c>
      <c r="S34" s="50">
        <v>28.0</v>
      </c>
      <c r="T34" s="50">
        <v>42.0</v>
      </c>
      <c r="U34" s="49"/>
      <c r="V34" s="49"/>
      <c r="W34" s="49"/>
      <c r="X34" s="49"/>
      <c r="Y34" s="49"/>
      <c r="Z34" s="49"/>
      <c r="AA34" s="49"/>
      <c r="AB34" s="49"/>
      <c r="AC34" s="49"/>
      <c r="AD34" s="42"/>
      <c r="AE34" s="42"/>
      <c r="AF34" s="42"/>
      <c r="AG34" s="42"/>
      <c r="AH34" s="42"/>
      <c r="AI34" s="42"/>
      <c r="AJ34" s="42"/>
      <c r="AK34" s="42"/>
      <c r="AL34" s="42"/>
    </row>
    <row r="35">
      <c r="A35" s="39">
        <v>31.0</v>
      </c>
      <c r="B35" s="176" t="s">
        <v>405</v>
      </c>
      <c r="C35" s="176" t="s">
        <v>101</v>
      </c>
      <c r="D35" s="182">
        <v>900730.0</v>
      </c>
      <c r="E35" s="80"/>
      <c r="F35" s="80"/>
      <c r="G35" s="80"/>
      <c r="H35" s="80"/>
      <c r="I35" s="34"/>
      <c r="J35" s="34"/>
      <c r="K35" s="34"/>
      <c r="L35" s="34"/>
      <c r="M35" s="183" t="s">
        <v>32</v>
      </c>
      <c r="N35" s="184" t="s">
        <v>32</v>
      </c>
      <c r="O35" s="41" t="s">
        <v>32</v>
      </c>
      <c r="P35" s="41" t="s">
        <v>32</v>
      </c>
      <c r="Q35" s="41">
        <v>9.0</v>
      </c>
      <c r="R35" s="39">
        <v>25.0</v>
      </c>
      <c r="S35" s="39">
        <v>26.0</v>
      </c>
      <c r="T35" s="41">
        <v>15.0</v>
      </c>
      <c r="U35" s="42"/>
      <c r="V35" s="42"/>
      <c r="W35" s="42"/>
      <c r="X35" s="42"/>
      <c r="Y35" s="42"/>
      <c r="Z35" s="42"/>
      <c r="AA35" s="42"/>
      <c r="AB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>
      <c r="A36" s="42"/>
      <c r="B36" s="185"/>
      <c r="C36" s="185"/>
      <c r="D36" s="117"/>
      <c r="E36" s="56"/>
      <c r="F36" s="56"/>
      <c r="G36" s="56"/>
      <c r="H36" s="56"/>
      <c r="I36" s="59"/>
      <c r="J36" s="59"/>
      <c r="K36" s="59"/>
      <c r="L36" s="59"/>
      <c r="M36" s="56"/>
      <c r="N36" s="56"/>
      <c r="O36" s="56"/>
      <c r="P36" s="56"/>
      <c r="Q36" s="56"/>
      <c r="R36" s="56"/>
      <c r="S36" s="56"/>
      <c r="T36" s="56"/>
      <c r="U36" s="49"/>
      <c r="V36" s="49"/>
      <c r="W36" s="49"/>
      <c r="X36" s="49"/>
      <c r="Y36" s="49"/>
      <c r="Z36" s="49"/>
      <c r="AA36" s="49"/>
      <c r="AB36" s="49"/>
      <c r="AC36" s="49"/>
      <c r="AD36" s="42"/>
      <c r="AE36" s="42"/>
      <c r="AF36" s="42"/>
      <c r="AG36" s="42"/>
      <c r="AH36" s="42"/>
      <c r="AI36" s="42"/>
      <c r="AJ36" s="42"/>
      <c r="AK36" s="42"/>
      <c r="AL36" s="42"/>
    </row>
    <row r="37">
      <c r="A37" s="42"/>
      <c r="B37" s="186" t="s">
        <v>406</v>
      </c>
      <c r="C37" s="185"/>
      <c r="D37" s="42"/>
      <c r="E37" s="56">
        <f t="shared" ref="E37:P37" si="1">sum(E5:E34)</f>
        <v>251</v>
      </c>
      <c r="F37" s="56">
        <f t="shared" si="1"/>
        <v>275</v>
      </c>
      <c r="G37" s="56">
        <f t="shared" si="1"/>
        <v>290</v>
      </c>
      <c r="H37" s="56">
        <f t="shared" si="1"/>
        <v>195</v>
      </c>
      <c r="I37" s="56">
        <f t="shared" si="1"/>
        <v>183</v>
      </c>
      <c r="J37" s="56">
        <f t="shared" si="1"/>
        <v>179</v>
      </c>
      <c r="K37" s="56">
        <f t="shared" si="1"/>
        <v>190</v>
      </c>
      <c r="L37" s="56">
        <f t="shared" si="1"/>
        <v>150</v>
      </c>
      <c r="M37" s="56">
        <f t="shared" si="1"/>
        <v>299</v>
      </c>
      <c r="N37" s="56">
        <f t="shared" si="1"/>
        <v>297</v>
      </c>
      <c r="O37" s="56">
        <f t="shared" si="1"/>
        <v>349</v>
      </c>
      <c r="P37" s="56">
        <f t="shared" si="1"/>
        <v>298</v>
      </c>
      <c r="Q37" s="64">
        <f t="shared" ref="Q37:T37" si="2">sum(Q5:Q35)</f>
        <v>650</v>
      </c>
      <c r="R37" s="64">
        <f t="shared" si="2"/>
        <v>850</v>
      </c>
      <c r="S37" s="64">
        <f t="shared" si="2"/>
        <v>744</v>
      </c>
      <c r="T37" s="64">
        <f t="shared" si="2"/>
        <v>782</v>
      </c>
      <c r="U37" s="49"/>
      <c r="V37" s="49"/>
      <c r="W37" s="49"/>
      <c r="X37" s="49"/>
      <c r="Y37" s="49"/>
      <c r="Z37" s="49"/>
      <c r="AA37" s="49"/>
      <c r="AB37" s="49"/>
      <c r="AC37" s="49"/>
      <c r="AD37" s="42"/>
      <c r="AE37" s="42"/>
      <c r="AF37" s="42"/>
      <c r="AG37" s="42"/>
      <c r="AH37" s="42"/>
      <c r="AI37" s="42"/>
      <c r="AJ37" s="42"/>
      <c r="AK37" s="42"/>
      <c r="AL37" s="42"/>
    </row>
    <row r="38">
      <c r="A38" s="42"/>
      <c r="B38" s="86" t="s">
        <v>86</v>
      </c>
      <c r="C38" s="185"/>
      <c r="D38" s="42"/>
      <c r="E38" s="59">
        <f t="shared" ref="E38:T38" si="3">E37/E42</f>
        <v>12.55</v>
      </c>
      <c r="F38" s="59">
        <f t="shared" si="3"/>
        <v>13.75</v>
      </c>
      <c r="G38" s="59">
        <f t="shared" si="3"/>
        <v>13.80952381</v>
      </c>
      <c r="H38" s="59">
        <f t="shared" si="3"/>
        <v>9.75</v>
      </c>
      <c r="I38" s="59">
        <f t="shared" si="3"/>
        <v>11.4375</v>
      </c>
      <c r="J38" s="59">
        <f t="shared" si="3"/>
        <v>11.1875</v>
      </c>
      <c r="K38" s="59">
        <f t="shared" si="3"/>
        <v>12.66666667</v>
      </c>
      <c r="L38" s="59">
        <f t="shared" si="3"/>
        <v>10</v>
      </c>
      <c r="M38" s="59">
        <f t="shared" si="3"/>
        <v>10.31034483</v>
      </c>
      <c r="N38" s="59">
        <f t="shared" si="3"/>
        <v>10.24137931</v>
      </c>
      <c r="O38" s="59">
        <f t="shared" si="3"/>
        <v>12.03448276</v>
      </c>
      <c r="P38" s="59">
        <f t="shared" si="3"/>
        <v>10.27586207</v>
      </c>
      <c r="Q38" s="59">
        <f t="shared" si="3"/>
        <v>21.66666667</v>
      </c>
      <c r="R38" s="59">
        <f t="shared" si="3"/>
        <v>28.33333333</v>
      </c>
      <c r="S38" s="59">
        <f t="shared" si="3"/>
        <v>24.8</v>
      </c>
      <c r="T38" s="59">
        <f t="shared" si="3"/>
        <v>26.06666667</v>
      </c>
      <c r="U38" s="59"/>
      <c r="V38" s="49"/>
      <c r="W38" s="49"/>
      <c r="X38" s="49"/>
      <c r="Y38" s="49"/>
      <c r="Z38" s="49"/>
      <c r="AA38" s="49"/>
      <c r="AB38" s="49"/>
      <c r="AC38" s="49"/>
      <c r="AD38" s="42"/>
      <c r="AE38" s="42"/>
      <c r="AF38" s="42"/>
      <c r="AG38" s="42"/>
      <c r="AH38" s="42"/>
      <c r="AI38" s="42"/>
      <c r="AJ38" s="42"/>
      <c r="AK38" s="42"/>
      <c r="AL38" s="42"/>
    </row>
    <row r="39">
      <c r="A39" s="42"/>
      <c r="B39" s="86" t="s">
        <v>87</v>
      </c>
      <c r="C39" s="185"/>
      <c r="D39" s="42"/>
      <c r="E39" s="64">
        <v>25.0</v>
      </c>
      <c r="F39" s="56"/>
      <c r="G39" s="56"/>
      <c r="H39" s="56"/>
      <c r="I39" s="64">
        <v>16.0</v>
      </c>
      <c r="J39" s="64">
        <v>16.0</v>
      </c>
      <c r="K39" s="64">
        <v>16.0</v>
      </c>
      <c r="L39" s="64">
        <v>16.0</v>
      </c>
      <c r="M39" s="64">
        <v>30.0</v>
      </c>
      <c r="N39" s="64">
        <v>30.0</v>
      </c>
      <c r="O39" s="64">
        <v>30.0</v>
      </c>
      <c r="P39" s="64">
        <v>30.0</v>
      </c>
      <c r="Q39" s="64">
        <v>31.0</v>
      </c>
      <c r="R39" s="64">
        <v>31.0</v>
      </c>
      <c r="S39" s="64">
        <v>31.0</v>
      </c>
      <c r="T39" s="64">
        <v>31.0</v>
      </c>
      <c r="U39" s="49"/>
      <c r="V39" s="49"/>
      <c r="W39" s="49"/>
      <c r="X39" s="49"/>
      <c r="Y39" s="49"/>
      <c r="Z39" s="49"/>
      <c r="AA39" s="49"/>
      <c r="AB39" s="49"/>
      <c r="AC39" s="49"/>
      <c r="AD39" s="42"/>
      <c r="AE39" s="42"/>
      <c r="AF39" s="42"/>
      <c r="AG39" s="42"/>
      <c r="AH39" s="42"/>
      <c r="AI39" s="42"/>
      <c r="AJ39" s="42"/>
      <c r="AK39" s="42"/>
      <c r="AL39" s="42"/>
    </row>
    <row r="40">
      <c r="A40" s="47"/>
      <c r="B40" s="86" t="s">
        <v>88</v>
      </c>
      <c r="C40" s="187"/>
      <c r="D40" s="42"/>
      <c r="E40" s="68">
        <v>11.0</v>
      </c>
      <c r="F40" s="68">
        <v>14.0</v>
      </c>
      <c r="G40" s="68">
        <v>15.0</v>
      </c>
      <c r="H40" s="188"/>
      <c r="I40" s="68">
        <v>5.0</v>
      </c>
      <c r="J40" s="68">
        <v>8.0</v>
      </c>
      <c r="K40" s="68">
        <v>5.0</v>
      </c>
      <c r="L40" s="68">
        <v>12.0</v>
      </c>
      <c r="M40" s="68">
        <v>24.0</v>
      </c>
      <c r="N40" s="68">
        <v>26.0</v>
      </c>
      <c r="O40" s="68">
        <v>25.0</v>
      </c>
      <c r="P40" s="68">
        <v>20.0</v>
      </c>
      <c r="Q40" s="68">
        <v>18.0</v>
      </c>
      <c r="R40" s="68">
        <v>19.0</v>
      </c>
      <c r="S40" s="68">
        <v>19.0</v>
      </c>
      <c r="T40" s="68">
        <v>19.0</v>
      </c>
      <c r="U40" s="52"/>
      <c r="V40" s="52"/>
      <c r="W40" s="52"/>
      <c r="X40" s="50"/>
      <c r="Y40" s="49"/>
      <c r="Z40" s="49"/>
      <c r="AA40" s="49"/>
      <c r="AB40" s="49"/>
      <c r="AC40" s="49"/>
      <c r="AD40" s="47"/>
      <c r="AE40" s="47"/>
      <c r="AF40" s="47"/>
      <c r="AG40" s="47"/>
      <c r="AH40" s="47"/>
      <c r="AI40" s="47"/>
      <c r="AJ40" s="47"/>
      <c r="AK40" s="47"/>
      <c r="AL40" s="47"/>
      <c r="AM40" s="81"/>
      <c r="AN40" s="81"/>
    </row>
    <row r="41">
      <c r="A41" s="81"/>
      <c r="B41" s="86" t="s">
        <v>89</v>
      </c>
      <c r="C41" s="187"/>
      <c r="D41" s="42"/>
      <c r="E41" s="68">
        <v>9.0</v>
      </c>
      <c r="F41" s="68">
        <v>6.0</v>
      </c>
      <c r="G41" s="68">
        <v>6.0</v>
      </c>
      <c r="H41" s="68">
        <v>1.0</v>
      </c>
      <c r="I41" s="68">
        <v>11.0</v>
      </c>
      <c r="J41" s="68">
        <v>8.0</v>
      </c>
      <c r="K41" s="68">
        <v>10.0</v>
      </c>
      <c r="L41" s="68">
        <v>3.0</v>
      </c>
      <c r="M41" s="71">
        <v>5.0</v>
      </c>
      <c r="N41" s="71">
        <v>3.0</v>
      </c>
      <c r="O41" s="71">
        <v>4.0</v>
      </c>
      <c r="P41" s="71">
        <v>9.0</v>
      </c>
      <c r="Q41" s="72">
        <v>12.0</v>
      </c>
      <c r="R41" s="72">
        <v>11.0</v>
      </c>
      <c r="S41" s="72">
        <v>11.0</v>
      </c>
      <c r="T41" s="72">
        <v>11.0</v>
      </c>
      <c r="U41" s="189"/>
      <c r="V41" s="189"/>
      <c r="W41" s="189"/>
      <c r="X41" s="189"/>
      <c r="Y41" s="49"/>
      <c r="Z41" s="49"/>
      <c r="AA41" s="49"/>
      <c r="AB41" s="49"/>
      <c r="AC41" s="49"/>
      <c r="AD41" s="47"/>
      <c r="AE41" s="47"/>
      <c r="AF41" s="47"/>
      <c r="AG41" s="47"/>
      <c r="AH41" s="47"/>
      <c r="AI41" s="47"/>
      <c r="AJ41" s="47"/>
      <c r="AK41" s="47"/>
      <c r="AL41" s="47"/>
      <c r="AM41" s="81"/>
      <c r="AN41" s="81"/>
    </row>
    <row r="42">
      <c r="B42" s="86" t="s">
        <v>90</v>
      </c>
      <c r="C42" s="187"/>
      <c r="D42" s="42"/>
      <c r="E42" s="68">
        <v>20.0</v>
      </c>
      <c r="F42" s="68">
        <v>20.0</v>
      </c>
      <c r="G42" s="68">
        <v>21.0</v>
      </c>
      <c r="H42" s="68">
        <v>20.0</v>
      </c>
      <c r="I42" s="68">
        <v>16.0</v>
      </c>
      <c r="J42" s="68">
        <v>16.0</v>
      </c>
      <c r="K42" s="64">
        <v>15.0</v>
      </c>
      <c r="L42" s="64">
        <v>15.0</v>
      </c>
      <c r="M42" s="68">
        <v>29.0</v>
      </c>
      <c r="N42" s="68">
        <v>29.0</v>
      </c>
      <c r="O42" s="64">
        <v>29.0</v>
      </c>
      <c r="P42" s="64">
        <v>29.0</v>
      </c>
      <c r="Q42" s="190">
        <v>30.0</v>
      </c>
      <c r="R42" s="190">
        <v>30.0</v>
      </c>
      <c r="S42" s="190">
        <v>30.0</v>
      </c>
      <c r="T42" s="190">
        <v>30.0</v>
      </c>
      <c r="U42" s="52"/>
      <c r="V42" s="52"/>
      <c r="W42" s="52"/>
      <c r="X42" s="50"/>
      <c r="Y42" s="49"/>
      <c r="Z42" s="49"/>
      <c r="AA42" s="49"/>
      <c r="AB42" s="49"/>
      <c r="AC42" s="49"/>
      <c r="AD42" s="42"/>
      <c r="AE42" s="42"/>
      <c r="AF42" s="42"/>
      <c r="AG42" s="42"/>
      <c r="AH42" s="42"/>
      <c r="AI42" s="42"/>
      <c r="AJ42" s="42"/>
      <c r="AK42" s="42"/>
      <c r="AL42" s="42"/>
    </row>
    <row r="43">
      <c r="B43" s="191"/>
      <c r="C43" s="187"/>
      <c r="D43" s="66"/>
      <c r="E43" s="188"/>
      <c r="F43" s="188"/>
      <c r="G43" s="188"/>
      <c r="H43" s="188"/>
      <c r="I43" s="68"/>
      <c r="J43" s="68"/>
      <c r="K43" s="64"/>
      <c r="L43" s="64"/>
      <c r="M43" s="68">
        <f t="shared" ref="M43:P43" si="4">COUNTIF(M5:M34,"A")</f>
        <v>0</v>
      </c>
      <c r="N43" s="68">
        <f t="shared" si="4"/>
        <v>0</v>
      </c>
      <c r="O43" s="68">
        <f t="shared" si="4"/>
        <v>0</v>
      </c>
      <c r="P43" s="68">
        <f t="shared" si="4"/>
        <v>0</v>
      </c>
      <c r="Q43" s="68"/>
      <c r="R43" s="68"/>
      <c r="S43" s="68"/>
      <c r="T43" s="68"/>
      <c r="U43" s="68"/>
      <c r="V43" s="53"/>
      <c r="W43" s="53"/>
      <c r="X43" s="53"/>
      <c r="Y43" s="49"/>
      <c r="Z43" s="49"/>
      <c r="AA43" s="49"/>
      <c r="AB43" s="49"/>
      <c r="AC43" s="49"/>
      <c r="AD43" s="42"/>
      <c r="AE43" s="42"/>
      <c r="AF43" s="42"/>
      <c r="AG43" s="42"/>
      <c r="AH43" s="42"/>
      <c r="AI43" s="42"/>
      <c r="AJ43" s="42"/>
      <c r="AK43" s="42"/>
      <c r="AL43" s="42"/>
    </row>
    <row r="44">
      <c r="B44" s="191"/>
      <c r="C44" s="187"/>
      <c r="D44" s="66"/>
      <c r="E44" s="53"/>
      <c r="F44" s="53"/>
      <c r="G44" s="53"/>
      <c r="H44" s="53"/>
      <c r="I44" s="52"/>
      <c r="J44" s="52"/>
      <c r="K44" s="50"/>
      <c r="L44" s="50"/>
      <c r="M44" s="52"/>
      <c r="N44" s="52"/>
      <c r="O44" s="50"/>
      <c r="P44" s="50"/>
      <c r="Q44" s="52"/>
      <c r="R44" s="52"/>
      <c r="S44" s="192"/>
      <c r="T44" s="192"/>
      <c r="U44" s="53"/>
      <c r="V44" s="53"/>
      <c r="W44" s="53"/>
      <c r="X44" s="53"/>
      <c r="Y44" s="49"/>
      <c r="Z44" s="49"/>
      <c r="AA44" s="49"/>
      <c r="AB44" s="49"/>
      <c r="AC44" s="49"/>
      <c r="AD44" s="42"/>
      <c r="AE44" s="42"/>
      <c r="AF44" s="42"/>
      <c r="AG44" s="42"/>
      <c r="AH44" s="42"/>
      <c r="AI44" s="42"/>
      <c r="AJ44" s="42"/>
      <c r="AK44" s="42"/>
      <c r="AL44" s="42"/>
    </row>
    <row r="45">
      <c r="B45" s="191"/>
      <c r="C45" s="187"/>
      <c r="D45" s="66"/>
      <c r="E45" s="53"/>
      <c r="F45" s="53"/>
      <c r="G45" s="53"/>
      <c r="H45" s="53"/>
      <c r="I45" s="52"/>
      <c r="J45" s="52"/>
      <c r="K45" s="50"/>
      <c r="L45" s="50"/>
      <c r="M45" s="52"/>
      <c r="N45" s="52"/>
      <c r="O45" s="50"/>
      <c r="P45" s="50"/>
      <c r="Q45" s="52"/>
      <c r="R45" s="52"/>
      <c r="S45" s="192"/>
      <c r="T45" s="192"/>
      <c r="U45" s="53"/>
      <c r="V45" s="53"/>
      <c r="W45" s="53"/>
      <c r="X45" s="53"/>
      <c r="Y45" s="49"/>
      <c r="Z45" s="49"/>
      <c r="AA45" s="49"/>
      <c r="AB45" s="49"/>
      <c r="AC45" s="49"/>
      <c r="AD45" s="42"/>
      <c r="AE45" s="42"/>
      <c r="AF45" s="42"/>
      <c r="AG45" s="42"/>
      <c r="AH45" s="42"/>
      <c r="AI45" s="42"/>
      <c r="AJ45" s="42"/>
      <c r="AK45" s="42"/>
      <c r="AL45" s="42"/>
    </row>
    <row r="46">
      <c r="B46" s="191"/>
      <c r="C46" s="187"/>
      <c r="D46" s="66"/>
      <c r="E46" s="53"/>
      <c r="F46" s="53"/>
      <c r="G46" s="53"/>
      <c r="H46" s="53"/>
      <c r="I46" s="52"/>
      <c r="J46" s="52"/>
      <c r="K46" s="50"/>
      <c r="L46" s="50"/>
      <c r="M46" s="52"/>
      <c r="N46" s="52"/>
      <c r="O46" s="50"/>
      <c r="P46" s="50"/>
      <c r="Q46" s="52"/>
      <c r="R46" s="52"/>
      <c r="S46" s="52"/>
      <c r="T46" s="52"/>
      <c r="U46" s="49"/>
      <c r="V46" s="49"/>
      <c r="W46" s="49"/>
      <c r="X46" s="49"/>
      <c r="Y46" s="49"/>
      <c r="Z46" s="49"/>
      <c r="AA46" s="49"/>
      <c r="AB46" s="49"/>
      <c r="AC46" s="49"/>
      <c r="AD46" s="42"/>
      <c r="AE46" s="42"/>
      <c r="AF46" s="42"/>
      <c r="AG46" s="42"/>
      <c r="AH46" s="42"/>
      <c r="AI46" s="42"/>
      <c r="AJ46" s="42"/>
      <c r="AK46" s="42"/>
      <c r="AL46" s="42"/>
    </row>
    <row r="47">
      <c r="B47" s="187"/>
      <c r="C47" s="187"/>
      <c r="D47" s="66"/>
      <c r="E47" s="66"/>
      <c r="F47" s="66"/>
      <c r="G47" s="66"/>
      <c r="H47" s="66"/>
      <c r="I47" s="66"/>
      <c r="J47" s="66"/>
      <c r="K47" s="80"/>
      <c r="L47" s="80"/>
      <c r="M47" s="66"/>
      <c r="N47" s="66"/>
      <c r="O47" s="80"/>
      <c r="P47" s="80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>
      <c r="B48" s="193"/>
      <c r="C48" s="193"/>
      <c r="D48" s="81"/>
      <c r="E48" s="81"/>
      <c r="F48" s="81"/>
      <c r="G48" s="81"/>
      <c r="H48" s="81"/>
      <c r="I48" s="81"/>
      <c r="J48" s="81"/>
      <c r="M48" s="81"/>
      <c r="N48" s="81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>
      <c r="B49" s="194"/>
      <c r="C49" s="194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>
      <c r="B50" s="194"/>
      <c r="C50" s="194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>
      <c r="B51" s="194"/>
      <c r="C51" s="194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>
      <c r="B52" s="194"/>
      <c r="C52" s="194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>
      <c r="B53" s="194"/>
      <c r="C53" s="194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>
      <c r="B54" s="194"/>
      <c r="C54" s="194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>
      <c r="B55" s="194"/>
      <c r="C55" s="194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</row>
    <row r="56">
      <c r="B56" s="194"/>
      <c r="C56" s="194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>
      <c r="B57" s="194"/>
      <c r="C57" s="194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</row>
    <row r="58">
      <c r="B58" s="194"/>
      <c r="C58" s="194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>
      <c r="B59" s="194"/>
      <c r="C59" s="194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</row>
    <row r="60">
      <c r="B60" s="194"/>
      <c r="C60" s="194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</row>
    <row r="61">
      <c r="B61" s="194"/>
      <c r="C61" s="194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</row>
    <row r="62">
      <c r="B62" s="194"/>
      <c r="C62" s="194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</row>
    <row r="63">
      <c r="B63" s="194"/>
      <c r="C63" s="194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</row>
    <row r="64">
      <c r="B64" s="194"/>
      <c r="C64" s="194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</row>
    <row r="65">
      <c r="B65" s="194"/>
      <c r="C65" s="194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</row>
    <row r="66">
      <c r="B66" s="194"/>
      <c r="C66" s="194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</row>
    <row r="67">
      <c r="B67" s="194"/>
      <c r="C67" s="194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</row>
    <row r="68">
      <c r="B68" s="194"/>
      <c r="C68" s="194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</row>
    <row r="69">
      <c r="B69" s="194"/>
      <c r="C69" s="194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</row>
    <row r="70">
      <c r="B70" s="194"/>
      <c r="C70" s="194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</row>
    <row r="71">
      <c r="B71" s="194"/>
      <c r="C71" s="194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</row>
    <row r="72">
      <c r="B72" s="194"/>
      <c r="C72" s="194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</row>
    <row r="73">
      <c r="B73" s="194"/>
      <c r="C73" s="194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</row>
    <row r="74">
      <c r="B74" s="194"/>
      <c r="C74" s="194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</row>
    <row r="75">
      <c r="B75" s="194"/>
      <c r="C75" s="194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</row>
    <row r="76">
      <c r="B76" s="194"/>
      <c r="C76" s="194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</row>
    <row r="77">
      <c r="B77" s="194"/>
      <c r="C77" s="194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>
      <c r="B78" s="194"/>
      <c r="C78" s="194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>
      <c r="B79" s="194"/>
      <c r="C79" s="194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>
      <c r="B80" s="194"/>
      <c r="C80" s="194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>
      <c r="B81" s="194"/>
      <c r="C81" s="194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>
      <c r="B82" s="194"/>
      <c r="C82" s="194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>
      <c r="B83" s="194"/>
      <c r="C83" s="194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>
      <c r="B84" s="194"/>
      <c r="C84" s="194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</row>
    <row r="85">
      <c r="B85" s="194"/>
      <c r="C85" s="194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</row>
    <row r="86">
      <c r="B86" s="194"/>
      <c r="C86" s="194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>
      <c r="B87" s="194"/>
      <c r="C87" s="194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>
      <c r="B88" s="194"/>
      <c r="C88" s="194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>
      <c r="B89" s="194"/>
      <c r="C89" s="194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>
      <c r="B90" s="194"/>
      <c r="C90" s="194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>
      <c r="B91" s="194"/>
      <c r="C91" s="194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>
      <c r="B92" s="194"/>
      <c r="C92" s="194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>
      <c r="B93" s="194"/>
      <c r="C93" s="194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>
      <c r="B94" s="194"/>
      <c r="C94" s="194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>
      <c r="B95" s="194"/>
      <c r="C95" s="194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>
      <c r="B96" s="194"/>
      <c r="C96" s="194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>
      <c r="B97" s="194"/>
      <c r="C97" s="194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>
      <c r="B98" s="194"/>
      <c r="C98" s="194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>
      <c r="B99" s="194"/>
      <c r="C99" s="194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>
      <c r="B100" s="194"/>
      <c r="C100" s="194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>
      <c r="B101" s="194"/>
      <c r="C101" s="194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>
      <c r="B102" s="194"/>
      <c r="C102" s="194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>
      <c r="B103" s="194"/>
      <c r="C103" s="194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>
      <c r="B104" s="194"/>
      <c r="C104" s="194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>
      <c r="B105" s="194"/>
      <c r="C105" s="194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</row>
    <row r="106">
      <c r="B106" s="194"/>
      <c r="C106" s="194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>
      <c r="B107" s="194"/>
      <c r="C107" s="194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</row>
    <row r="108">
      <c r="B108" s="194"/>
      <c r="C108" s="194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>
      <c r="B109" s="194"/>
      <c r="C109" s="194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>
      <c r="B110" s="194"/>
      <c r="C110" s="194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>
      <c r="B111" s="194"/>
      <c r="C111" s="194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>
      <c r="B112" s="194"/>
      <c r="C112" s="194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>
      <c r="B113" s="194"/>
      <c r="C113" s="194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>
      <c r="B114" s="194"/>
      <c r="C114" s="194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>
      <c r="B115" s="194"/>
      <c r="C115" s="194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>
      <c r="B116" s="194"/>
      <c r="C116" s="194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>
      <c r="B117" s="194"/>
      <c r="C117" s="194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>
      <c r="B118" s="194"/>
      <c r="C118" s="194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>
      <c r="B119" s="194"/>
      <c r="C119" s="194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</row>
    <row r="120">
      <c r="B120" s="194"/>
      <c r="C120" s="194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>
      <c r="B121" s="194"/>
      <c r="C121" s="194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>
      <c r="B122" s="194"/>
      <c r="C122" s="194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>
      <c r="B123" s="194"/>
      <c r="C123" s="194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>
      <c r="B124" s="194"/>
      <c r="C124" s="194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>
      <c r="B125" s="194"/>
      <c r="C125" s="194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>
      <c r="B126" s="194"/>
      <c r="C126" s="194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>
      <c r="B127" s="194"/>
      <c r="C127" s="194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>
      <c r="B128" s="194"/>
      <c r="C128" s="194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>
      <c r="B129" s="194"/>
      <c r="C129" s="194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</row>
    <row r="130">
      <c r="B130" s="194"/>
      <c r="C130" s="194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>
      <c r="B131" s="194"/>
      <c r="C131" s="194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</row>
    <row r="132">
      <c r="B132" s="194"/>
      <c r="C132" s="194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>
      <c r="B133" s="194"/>
      <c r="C133" s="194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</row>
    <row r="134">
      <c r="B134" s="194"/>
      <c r="C134" s="194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>
      <c r="B135" s="194"/>
      <c r="C135" s="194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</row>
    <row r="136">
      <c r="B136" s="194"/>
      <c r="C136" s="194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>
      <c r="B137" s="194"/>
      <c r="C137" s="194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</row>
    <row r="138">
      <c r="B138" s="194"/>
      <c r="C138" s="194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>
      <c r="B139" s="194"/>
      <c r="C139" s="194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</row>
    <row r="140">
      <c r="B140" s="194"/>
      <c r="C140" s="194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>
      <c r="B141" s="194"/>
      <c r="C141" s="194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</row>
    <row r="142">
      <c r="B142" s="194"/>
      <c r="C142" s="194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>
      <c r="B143" s="194"/>
      <c r="C143" s="194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</row>
    <row r="144">
      <c r="B144" s="194"/>
      <c r="C144" s="194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>
      <c r="B145" s="194"/>
      <c r="C145" s="194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</row>
    <row r="146">
      <c r="B146" s="194"/>
      <c r="C146" s="194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>
      <c r="B147" s="194"/>
      <c r="C147" s="194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</row>
    <row r="148">
      <c r="B148" s="194"/>
      <c r="C148" s="194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>
      <c r="B149" s="194"/>
      <c r="C149" s="194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</row>
    <row r="150">
      <c r="B150" s="194"/>
      <c r="C150" s="194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>
      <c r="B151" s="194"/>
      <c r="C151" s="194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</row>
    <row r="152">
      <c r="B152" s="194"/>
      <c r="C152" s="194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>
      <c r="B153" s="194"/>
      <c r="C153" s="194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</row>
    <row r="154">
      <c r="B154" s="194"/>
      <c r="C154" s="194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>
      <c r="B155" s="194"/>
      <c r="C155" s="194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</row>
    <row r="156">
      <c r="B156" s="194"/>
      <c r="C156" s="194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>
      <c r="B157" s="194"/>
      <c r="C157" s="194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>
      <c r="B158" s="194"/>
      <c r="C158" s="194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>
      <c r="B159" s="194"/>
      <c r="C159" s="194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</row>
    <row r="160">
      <c r="B160" s="194"/>
      <c r="C160" s="194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>
      <c r="B161" s="194"/>
      <c r="C161" s="194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</row>
    <row r="162">
      <c r="B162" s="194"/>
      <c r="C162" s="194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>
      <c r="B163" s="194"/>
      <c r="C163" s="194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</row>
    <row r="164">
      <c r="B164" s="194"/>
      <c r="C164" s="194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>
      <c r="B165" s="194"/>
      <c r="C165" s="194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</row>
    <row r="166">
      <c r="B166" s="194"/>
      <c r="C166" s="194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>
      <c r="B167" s="194"/>
      <c r="C167" s="194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>
      <c r="B168" s="194"/>
      <c r="C168" s="194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>
      <c r="B169" s="194"/>
      <c r="C169" s="194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</row>
    <row r="170">
      <c r="B170" s="194"/>
      <c r="C170" s="194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>
      <c r="B171" s="194"/>
      <c r="C171" s="194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</row>
    <row r="172">
      <c r="B172" s="194"/>
      <c r="C172" s="194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>
      <c r="B173" s="194"/>
      <c r="C173" s="194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</row>
    <row r="174">
      <c r="B174" s="194"/>
      <c r="C174" s="194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>
      <c r="B175" s="194"/>
      <c r="C175" s="194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</row>
    <row r="176">
      <c r="B176" s="194"/>
      <c r="C176" s="194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>
      <c r="B177" s="194"/>
      <c r="C177" s="194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</row>
    <row r="178">
      <c r="B178" s="194"/>
      <c r="C178" s="194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>
      <c r="B179" s="194"/>
      <c r="C179" s="194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</row>
    <row r="180">
      <c r="B180" s="194"/>
      <c r="C180" s="194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>
      <c r="B181" s="194"/>
      <c r="C181" s="194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</row>
    <row r="182">
      <c r="B182" s="194"/>
      <c r="C182" s="194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>
      <c r="B183" s="194"/>
      <c r="C183" s="194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</row>
    <row r="184">
      <c r="B184" s="194"/>
      <c r="C184" s="194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>
      <c r="B185" s="194"/>
      <c r="C185" s="194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</row>
    <row r="186">
      <c r="B186" s="194"/>
      <c r="C186" s="194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>
      <c r="B187" s="194"/>
      <c r="C187" s="194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</row>
    <row r="188">
      <c r="B188" s="194"/>
      <c r="C188" s="194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>
      <c r="B189" s="194"/>
      <c r="C189" s="194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</row>
    <row r="190">
      <c r="B190" s="194"/>
      <c r="C190" s="194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>
      <c r="B191" s="194"/>
      <c r="C191" s="194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</row>
    <row r="192">
      <c r="B192" s="194"/>
      <c r="C192" s="194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>
      <c r="B193" s="194"/>
      <c r="C193" s="194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>
      <c r="B194" s="194"/>
      <c r="C194" s="194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>
      <c r="B195" s="194"/>
      <c r="C195" s="194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</row>
    <row r="196">
      <c r="B196" s="194"/>
      <c r="C196" s="194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>
      <c r="B197" s="194"/>
      <c r="C197" s="194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</row>
    <row r="198">
      <c r="B198" s="194"/>
      <c r="C198" s="194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>
      <c r="B199" s="194"/>
      <c r="C199" s="194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</row>
    <row r="200">
      <c r="B200" s="194"/>
      <c r="C200" s="194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>
      <c r="B201" s="194"/>
      <c r="C201" s="194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</row>
    <row r="202">
      <c r="B202" s="194"/>
      <c r="C202" s="194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>
      <c r="B203" s="194"/>
      <c r="C203" s="194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</row>
    <row r="204">
      <c r="B204" s="194"/>
      <c r="C204" s="194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>
      <c r="B205" s="194"/>
      <c r="C205" s="194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</row>
    <row r="206">
      <c r="B206" s="194"/>
      <c r="C206" s="194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>
      <c r="B207" s="194"/>
      <c r="C207" s="194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</row>
    <row r="208">
      <c r="B208" s="194"/>
      <c r="C208" s="194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>
      <c r="B209" s="194"/>
      <c r="C209" s="194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</row>
    <row r="210">
      <c r="B210" s="194"/>
      <c r="C210" s="194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>
      <c r="B211" s="194"/>
      <c r="C211" s="194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</row>
    <row r="212">
      <c r="B212" s="194"/>
      <c r="C212" s="194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>
      <c r="B213" s="194"/>
      <c r="C213" s="194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</row>
    <row r="214">
      <c r="B214" s="194"/>
      <c r="C214" s="194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>
      <c r="B215" s="194"/>
      <c r="C215" s="194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</row>
    <row r="216">
      <c r="B216" s="194"/>
      <c r="C216" s="194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>
      <c r="B217" s="194"/>
      <c r="C217" s="194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</row>
    <row r="218">
      <c r="B218" s="194"/>
      <c r="C218" s="194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>
      <c r="B219" s="194"/>
      <c r="C219" s="194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>
      <c r="B220" s="194"/>
      <c r="C220" s="194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>
      <c r="B221" s="194"/>
      <c r="C221" s="194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</row>
    <row r="222">
      <c r="B222" s="194"/>
      <c r="C222" s="194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>
      <c r="B223" s="194"/>
      <c r="C223" s="194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</row>
    <row r="224">
      <c r="B224" s="194"/>
      <c r="C224" s="194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>
      <c r="B225" s="194"/>
      <c r="C225" s="194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</row>
    <row r="226">
      <c r="B226" s="194"/>
      <c r="C226" s="194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>
      <c r="B227" s="194"/>
      <c r="C227" s="194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</row>
    <row r="228">
      <c r="B228" s="194"/>
      <c r="C228" s="194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>
      <c r="B229" s="194"/>
      <c r="C229" s="194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</row>
    <row r="230">
      <c r="B230" s="194"/>
      <c r="C230" s="194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>
      <c r="B231" s="194"/>
      <c r="C231" s="194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</row>
    <row r="232">
      <c r="B232" s="194"/>
      <c r="C232" s="194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>
      <c r="B233" s="194"/>
      <c r="C233" s="194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</row>
    <row r="234">
      <c r="B234" s="194"/>
      <c r="C234" s="194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>
      <c r="B235" s="194"/>
      <c r="C235" s="194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>
      <c r="B236" s="194"/>
      <c r="C236" s="194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>
      <c r="B237" s="194"/>
      <c r="C237" s="194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</row>
    <row r="238">
      <c r="B238" s="194"/>
      <c r="C238" s="194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>
      <c r="B239" s="194"/>
      <c r="C239" s="194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</row>
    <row r="240">
      <c r="B240" s="194"/>
      <c r="C240" s="194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>
      <c r="B241" s="194"/>
      <c r="C241" s="194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</row>
    <row r="242">
      <c r="B242" s="194"/>
      <c r="C242" s="194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>
      <c r="B243" s="194"/>
      <c r="C243" s="194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</row>
    <row r="244">
      <c r="B244" s="194"/>
      <c r="C244" s="194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>
      <c r="B245" s="194"/>
      <c r="C245" s="194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</row>
    <row r="246">
      <c r="B246" s="194"/>
      <c r="C246" s="194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>
      <c r="B247" s="194"/>
      <c r="C247" s="194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</row>
    <row r="248">
      <c r="B248" s="194"/>
      <c r="C248" s="194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>
      <c r="B249" s="194"/>
      <c r="C249" s="194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</row>
    <row r="250">
      <c r="B250" s="194"/>
      <c r="C250" s="194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>
      <c r="B251" s="194"/>
      <c r="C251" s="194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>
      <c r="B252" s="194"/>
      <c r="C252" s="194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>
      <c r="B253" s="194"/>
      <c r="C253" s="194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</row>
    <row r="254">
      <c r="B254" s="194"/>
      <c r="C254" s="194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>
      <c r="B255" s="194"/>
      <c r="C255" s="194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</row>
    <row r="256">
      <c r="B256" s="194"/>
      <c r="C256" s="194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>
      <c r="B257" s="194"/>
      <c r="C257" s="194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</row>
    <row r="258">
      <c r="B258" s="194"/>
      <c r="C258" s="194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>
      <c r="B259" s="194"/>
      <c r="C259" s="194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</row>
    <row r="260">
      <c r="B260" s="194"/>
      <c r="C260" s="194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>
      <c r="B261" s="194"/>
      <c r="C261" s="194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</row>
    <row r="262">
      <c r="B262" s="194"/>
      <c r="C262" s="194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>
      <c r="B263" s="194"/>
      <c r="C263" s="194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</row>
    <row r="264">
      <c r="B264" s="194"/>
      <c r="C264" s="194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>
      <c r="B265" s="194"/>
      <c r="C265" s="194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</row>
    <row r="266">
      <c r="B266" s="194"/>
      <c r="C266" s="194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>
      <c r="B267" s="194"/>
      <c r="C267" s="194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</row>
    <row r="268">
      <c r="B268" s="194"/>
      <c r="C268" s="194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>
      <c r="B269" s="194"/>
      <c r="C269" s="194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</row>
    <row r="270">
      <c r="B270" s="194"/>
      <c r="C270" s="194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>
      <c r="B271" s="194"/>
      <c r="C271" s="194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>
      <c r="B272" s="194"/>
      <c r="C272" s="194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>
      <c r="B273" s="194"/>
      <c r="C273" s="194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</row>
    <row r="274">
      <c r="B274" s="194"/>
      <c r="C274" s="194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>
      <c r="B275" s="194"/>
      <c r="C275" s="194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</row>
    <row r="276">
      <c r="B276" s="194"/>
      <c r="C276" s="194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>
      <c r="B277" s="194"/>
      <c r="C277" s="194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</row>
    <row r="278">
      <c r="B278" s="194"/>
      <c r="C278" s="194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>
      <c r="B279" s="194"/>
      <c r="C279" s="194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</row>
    <row r="280">
      <c r="B280" s="194"/>
      <c r="C280" s="194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>
      <c r="B281" s="194"/>
      <c r="C281" s="194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</row>
    <row r="282">
      <c r="B282" s="194"/>
      <c r="C282" s="194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>
      <c r="B283" s="194"/>
      <c r="C283" s="194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</row>
    <row r="284">
      <c r="B284" s="194"/>
      <c r="C284" s="194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>
      <c r="B285" s="194"/>
      <c r="C285" s="194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</row>
    <row r="286">
      <c r="B286" s="194"/>
      <c r="C286" s="194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>
      <c r="B287" s="194"/>
      <c r="C287" s="194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</row>
    <row r="288">
      <c r="B288" s="194"/>
      <c r="C288" s="194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>
      <c r="B289" s="194"/>
      <c r="C289" s="194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</row>
    <row r="290">
      <c r="B290" s="194"/>
      <c r="C290" s="194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>
      <c r="B291" s="194"/>
      <c r="C291" s="194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</row>
    <row r="292">
      <c r="B292" s="194"/>
      <c r="C292" s="194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>
      <c r="B293" s="194"/>
      <c r="C293" s="194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</row>
    <row r="294">
      <c r="B294" s="194"/>
      <c r="C294" s="194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>
      <c r="B295" s="194"/>
      <c r="C295" s="194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</row>
    <row r="296">
      <c r="B296" s="194"/>
      <c r="C296" s="194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>
      <c r="B297" s="194"/>
      <c r="C297" s="194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</row>
    <row r="298">
      <c r="B298" s="194"/>
      <c r="C298" s="194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>
      <c r="B299" s="194"/>
      <c r="C299" s="194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</row>
    <row r="300">
      <c r="B300" s="194"/>
      <c r="C300" s="194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>
      <c r="B301" s="194"/>
      <c r="C301" s="194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</row>
    <row r="302">
      <c r="B302" s="194"/>
      <c r="C302" s="194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>
      <c r="B303" s="194"/>
      <c r="C303" s="194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</row>
    <row r="304">
      <c r="B304" s="194"/>
      <c r="C304" s="194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>
      <c r="B305" s="194"/>
      <c r="C305" s="194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</row>
    <row r="306">
      <c r="B306" s="194"/>
      <c r="C306" s="194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>
      <c r="B307" s="194"/>
      <c r="C307" s="194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</row>
    <row r="308">
      <c r="B308" s="194"/>
      <c r="C308" s="194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>
      <c r="B309" s="194"/>
      <c r="C309" s="194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>
      <c r="B310" s="194"/>
      <c r="C310" s="194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>
      <c r="B311" s="194"/>
      <c r="C311" s="194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</row>
    <row r="312">
      <c r="B312" s="194"/>
      <c r="C312" s="194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>
      <c r="B313" s="194"/>
      <c r="C313" s="194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</row>
    <row r="314">
      <c r="B314" s="194"/>
      <c r="C314" s="194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>
      <c r="B315" s="194"/>
      <c r="C315" s="194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>
      <c r="B316" s="194"/>
      <c r="C316" s="194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>
      <c r="B317" s="194"/>
      <c r="C317" s="194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</row>
    <row r="318">
      <c r="B318" s="194"/>
      <c r="C318" s="194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>
      <c r="B319" s="194"/>
      <c r="C319" s="194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</row>
    <row r="320">
      <c r="B320" s="194"/>
      <c r="C320" s="194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>
      <c r="B321" s="194"/>
      <c r="C321" s="194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</row>
    <row r="322">
      <c r="B322" s="194"/>
      <c r="C322" s="194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>
      <c r="B323" s="194"/>
      <c r="C323" s="194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>
      <c r="B324" s="194"/>
      <c r="C324" s="194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>
      <c r="B325" s="194"/>
      <c r="C325" s="194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>
      <c r="B326" s="194"/>
      <c r="C326" s="194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>
      <c r="B327" s="194"/>
      <c r="C327" s="194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>
      <c r="B328" s="194"/>
      <c r="C328" s="194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>
      <c r="B329" s="194"/>
      <c r="C329" s="194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>
      <c r="B330" s="194"/>
      <c r="C330" s="194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>
      <c r="B331" s="194"/>
      <c r="C331" s="194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</row>
    <row r="332">
      <c r="B332" s="194"/>
      <c r="C332" s="194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</row>
    <row r="333">
      <c r="B333" s="194"/>
      <c r="C333" s="194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</row>
    <row r="334">
      <c r="B334" s="194"/>
      <c r="C334" s="194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</row>
    <row r="335">
      <c r="B335" s="194"/>
      <c r="C335" s="194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</row>
    <row r="336">
      <c r="B336" s="194"/>
      <c r="C336" s="194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</row>
    <row r="337">
      <c r="B337" s="194"/>
      <c r="C337" s="194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</row>
    <row r="338">
      <c r="B338" s="194"/>
      <c r="C338" s="194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</row>
    <row r="339">
      <c r="B339" s="194"/>
      <c r="C339" s="194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</row>
    <row r="340">
      <c r="B340" s="194"/>
      <c r="C340" s="194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</row>
    <row r="341">
      <c r="B341" s="194"/>
      <c r="C341" s="194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</row>
    <row r="342">
      <c r="B342" s="194"/>
      <c r="C342" s="194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</row>
    <row r="343">
      <c r="B343" s="194"/>
      <c r="C343" s="194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</row>
    <row r="344">
      <c r="B344" s="194"/>
      <c r="C344" s="194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</row>
    <row r="345">
      <c r="B345" s="194"/>
      <c r="C345" s="194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</row>
    <row r="346">
      <c r="B346" s="194"/>
      <c r="C346" s="194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</row>
    <row r="347">
      <c r="B347" s="194"/>
      <c r="C347" s="194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</row>
    <row r="348">
      <c r="B348" s="194"/>
      <c r="C348" s="194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</row>
    <row r="349">
      <c r="B349" s="194"/>
      <c r="C349" s="194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</row>
    <row r="350">
      <c r="B350" s="194"/>
      <c r="C350" s="194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</row>
    <row r="351">
      <c r="B351" s="194"/>
      <c r="C351" s="194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</row>
    <row r="352">
      <c r="B352" s="194"/>
      <c r="C352" s="194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</row>
    <row r="353">
      <c r="B353" s="194"/>
      <c r="C353" s="194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</row>
    <row r="354">
      <c r="B354" s="194"/>
      <c r="C354" s="194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</row>
    <row r="355">
      <c r="B355" s="194"/>
      <c r="C355" s="194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</row>
    <row r="356">
      <c r="B356" s="194"/>
      <c r="C356" s="194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</row>
    <row r="357">
      <c r="B357" s="194"/>
      <c r="C357" s="194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</row>
    <row r="358">
      <c r="B358" s="194"/>
      <c r="C358" s="194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</row>
    <row r="359">
      <c r="B359" s="194"/>
      <c r="C359" s="194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</row>
    <row r="360">
      <c r="B360" s="194"/>
      <c r="C360" s="194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</row>
    <row r="361">
      <c r="B361" s="194"/>
      <c r="C361" s="194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</row>
    <row r="362">
      <c r="B362" s="194"/>
      <c r="C362" s="194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</row>
    <row r="363">
      <c r="B363" s="194"/>
      <c r="C363" s="194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</row>
    <row r="364">
      <c r="B364" s="194"/>
      <c r="C364" s="194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</row>
    <row r="365">
      <c r="B365" s="194"/>
      <c r="C365" s="194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</row>
    <row r="366">
      <c r="B366" s="194"/>
      <c r="C366" s="194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</row>
    <row r="367">
      <c r="B367" s="194"/>
      <c r="C367" s="194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</row>
    <row r="368">
      <c r="B368" s="194"/>
      <c r="C368" s="194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</row>
    <row r="369">
      <c r="B369" s="194"/>
      <c r="C369" s="194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</row>
    <row r="370">
      <c r="B370" s="194"/>
      <c r="C370" s="194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</row>
    <row r="371">
      <c r="B371" s="194"/>
      <c r="C371" s="194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</row>
    <row r="372">
      <c r="B372" s="194"/>
      <c r="C372" s="194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</row>
    <row r="373">
      <c r="B373" s="194"/>
      <c r="C373" s="194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</row>
    <row r="374">
      <c r="B374" s="194"/>
      <c r="C374" s="194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</row>
    <row r="375">
      <c r="B375" s="194"/>
      <c r="C375" s="194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</row>
    <row r="376">
      <c r="B376" s="194"/>
      <c r="C376" s="194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</row>
    <row r="377">
      <c r="B377" s="194"/>
      <c r="C377" s="194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</row>
    <row r="378">
      <c r="B378" s="194"/>
      <c r="C378" s="194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</row>
    <row r="379">
      <c r="B379" s="194"/>
      <c r="C379" s="194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</row>
    <row r="380">
      <c r="B380" s="194"/>
      <c r="C380" s="194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</row>
    <row r="381">
      <c r="B381" s="194"/>
      <c r="C381" s="194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</row>
    <row r="382">
      <c r="B382" s="194"/>
      <c r="C382" s="194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</row>
    <row r="383">
      <c r="B383" s="194"/>
      <c r="C383" s="194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</row>
    <row r="384">
      <c r="B384" s="194"/>
      <c r="C384" s="194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</row>
    <row r="385">
      <c r="B385" s="194"/>
      <c r="C385" s="194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</row>
    <row r="386">
      <c r="B386" s="194"/>
      <c r="C386" s="194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</row>
    <row r="387">
      <c r="B387" s="194"/>
      <c r="C387" s="194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</row>
    <row r="388">
      <c r="B388" s="194"/>
      <c r="C388" s="194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</row>
    <row r="389">
      <c r="B389" s="194"/>
      <c r="C389" s="194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</row>
    <row r="390">
      <c r="B390" s="194"/>
      <c r="C390" s="194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</row>
    <row r="391">
      <c r="B391" s="194"/>
      <c r="C391" s="194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</row>
    <row r="392">
      <c r="B392" s="194"/>
      <c r="C392" s="194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</row>
    <row r="393">
      <c r="B393" s="194"/>
      <c r="C393" s="194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</row>
    <row r="394">
      <c r="B394" s="194"/>
      <c r="C394" s="194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</row>
    <row r="395">
      <c r="B395" s="194"/>
      <c r="C395" s="194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</row>
    <row r="396">
      <c r="B396" s="194"/>
      <c r="C396" s="194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</row>
    <row r="397">
      <c r="B397" s="194"/>
      <c r="C397" s="194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</row>
    <row r="398">
      <c r="B398" s="194"/>
      <c r="C398" s="194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</row>
    <row r="399">
      <c r="B399" s="194"/>
      <c r="C399" s="194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</row>
    <row r="400">
      <c r="B400" s="194"/>
      <c r="C400" s="194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</row>
    <row r="401">
      <c r="B401" s="194"/>
      <c r="C401" s="194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</row>
    <row r="402">
      <c r="B402" s="194"/>
      <c r="C402" s="194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</row>
    <row r="403">
      <c r="B403" s="194"/>
      <c r="C403" s="194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</row>
    <row r="404">
      <c r="B404" s="194"/>
      <c r="C404" s="194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</row>
    <row r="405">
      <c r="B405" s="194"/>
      <c r="C405" s="194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</row>
    <row r="406">
      <c r="B406" s="194"/>
      <c r="C406" s="194"/>
    </row>
    <row r="407">
      <c r="B407" s="194"/>
      <c r="C407" s="194"/>
    </row>
    <row r="408">
      <c r="B408" s="194"/>
      <c r="C408" s="194"/>
    </row>
    <row r="409">
      <c r="B409" s="194"/>
      <c r="C409" s="194"/>
    </row>
    <row r="410">
      <c r="B410" s="194"/>
      <c r="C410" s="194"/>
    </row>
    <row r="411">
      <c r="B411" s="194"/>
      <c r="C411" s="194"/>
    </row>
    <row r="412">
      <c r="B412" s="194"/>
      <c r="C412" s="194"/>
    </row>
    <row r="413">
      <c r="B413" s="194"/>
      <c r="C413" s="194"/>
    </row>
    <row r="414">
      <c r="B414" s="194"/>
      <c r="C414" s="194"/>
    </row>
    <row r="415">
      <c r="B415" s="194"/>
      <c r="C415" s="194"/>
    </row>
    <row r="416">
      <c r="B416" s="194"/>
      <c r="C416" s="194"/>
    </row>
    <row r="417">
      <c r="B417" s="194"/>
      <c r="C417" s="194"/>
    </row>
    <row r="418">
      <c r="B418" s="194"/>
      <c r="C418" s="194"/>
    </row>
    <row r="419">
      <c r="B419" s="194"/>
      <c r="C419" s="194"/>
    </row>
    <row r="420">
      <c r="B420" s="194"/>
      <c r="C420" s="194"/>
    </row>
    <row r="421">
      <c r="B421" s="194"/>
      <c r="C421" s="194"/>
    </row>
    <row r="422">
      <c r="B422" s="194"/>
      <c r="C422" s="194"/>
    </row>
    <row r="423">
      <c r="B423" s="194"/>
      <c r="C423" s="194"/>
    </row>
    <row r="424">
      <c r="B424" s="194"/>
      <c r="C424" s="194"/>
    </row>
    <row r="425">
      <c r="B425" s="194"/>
      <c r="C425" s="194"/>
    </row>
    <row r="426">
      <c r="B426" s="194"/>
      <c r="C426" s="194"/>
    </row>
    <row r="427">
      <c r="B427" s="194"/>
      <c r="C427" s="194"/>
    </row>
    <row r="428">
      <c r="B428" s="194"/>
      <c r="C428" s="194"/>
    </row>
    <row r="429">
      <c r="B429" s="194"/>
      <c r="C429" s="194"/>
    </row>
    <row r="430">
      <c r="B430" s="194"/>
      <c r="C430" s="194"/>
    </row>
    <row r="431">
      <c r="B431" s="194"/>
      <c r="C431" s="194"/>
    </row>
    <row r="432">
      <c r="B432" s="194"/>
      <c r="C432" s="194"/>
    </row>
    <row r="433">
      <c r="B433" s="194"/>
      <c r="C433" s="194"/>
    </row>
    <row r="434">
      <c r="B434" s="194"/>
      <c r="C434" s="194"/>
    </row>
    <row r="435">
      <c r="B435" s="194"/>
      <c r="C435" s="194"/>
    </row>
    <row r="436">
      <c r="B436" s="194"/>
      <c r="C436" s="194"/>
    </row>
    <row r="437">
      <c r="B437" s="194"/>
      <c r="C437" s="194"/>
    </row>
    <row r="438">
      <c r="B438" s="194"/>
      <c r="C438" s="194"/>
    </row>
    <row r="439">
      <c r="B439" s="194"/>
      <c r="C439" s="194"/>
    </row>
    <row r="440">
      <c r="B440" s="194"/>
      <c r="C440" s="194"/>
    </row>
    <row r="441">
      <c r="B441" s="194"/>
      <c r="C441" s="194"/>
    </row>
    <row r="442">
      <c r="B442" s="194"/>
      <c r="C442" s="194"/>
    </row>
    <row r="443">
      <c r="B443" s="194"/>
      <c r="C443" s="194"/>
    </row>
    <row r="444">
      <c r="B444" s="194"/>
      <c r="C444" s="194"/>
    </row>
    <row r="445">
      <c r="B445" s="194"/>
      <c r="C445" s="194"/>
    </row>
    <row r="446">
      <c r="B446" s="194"/>
      <c r="C446" s="194"/>
    </row>
    <row r="447">
      <c r="B447" s="194"/>
      <c r="C447" s="194"/>
    </row>
    <row r="448">
      <c r="B448" s="194"/>
      <c r="C448" s="194"/>
    </row>
    <row r="449">
      <c r="B449" s="194"/>
      <c r="C449" s="194"/>
    </row>
    <row r="450">
      <c r="B450" s="194"/>
      <c r="C450" s="194"/>
    </row>
    <row r="451">
      <c r="B451" s="194"/>
      <c r="C451" s="194"/>
    </row>
    <row r="452">
      <c r="B452" s="194"/>
      <c r="C452" s="194"/>
    </row>
    <row r="453">
      <c r="B453" s="194"/>
      <c r="C453" s="194"/>
    </row>
    <row r="454">
      <c r="B454" s="194"/>
      <c r="C454" s="194"/>
    </row>
    <row r="455">
      <c r="B455" s="194"/>
      <c r="C455" s="194"/>
    </row>
    <row r="456">
      <c r="B456" s="194"/>
      <c r="C456" s="194"/>
    </row>
    <row r="457">
      <c r="B457" s="194"/>
      <c r="C457" s="194"/>
    </row>
    <row r="458">
      <c r="B458" s="194"/>
      <c r="C458" s="194"/>
    </row>
    <row r="459">
      <c r="B459" s="194"/>
      <c r="C459" s="194"/>
    </row>
    <row r="460">
      <c r="B460" s="194"/>
      <c r="C460" s="194"/>
    </row>
    <row r="461">
      <c r="B461" s="194"/>
      <c r="C461" s="194"/>
    </row>
    <row r="462">
      <c r="B462" s="194"/>
      <c r="C462" s="194"/>
    </row>
    <row r="463">
      <c r="B463" s="194"/>
      <c r="C463" s="194"/>
    </row>
    <row r="464">
      <c r="B464" s="194"/>
      <c r="C464" s="194"/>
    </row>
    <row r="465">
      <c r="B465" s="194"/>
      <c r="C465" s="194"/>
    </row>
    <row r="466">
      <c r="B466" s="194"/>
      <c r="C466" s="194"/>
    </row>
    <row r="467">
      <c r="B467" s="194"/>
      <c r="C467" s="194"/>
    </row>
    <row r="468">
      <c r="B468" s="194"/>
      <c r="C468" s="194"/>
    </row>
    <row r="469">
      <c r="B469" s="194"/>
      <c r="C469" s="194"/>
    </row>
    <row r="470">
      <c r="B470" s="194"/>
      <c r="C470" s="194"/>
    </row>
    <row r="471">
      <c r="B471" s="194"/>
      <c r="C471" s="194"/>
    </row>
    <row r="472">
      <c r="B472" s="194"/>
      <c r="C472" s="194"/>
    </row>
    <row r="473">
      <c r="B473" s="194"/>
      <c r="C473" s="194"/>
    </row>
    <row r="474">
      <c r="B474" s="194"/>
      <c r="C474" s="194"/>
    </row>
    <row r="475">
      <c r="B475" s="194"/>
      <c r="C475" s="194"/>
    </row>
    <row r="476">
      <c r="B476" s="194"/>
      <c r="C476" s="194"/>
    </row>
    <row r="477">
      <c r="B477" s="194"/>
      <c r="C477" s="194"/>
    </row>
    <row r="478">
      <c r="B478" s="194"/>
      <c r="C478" s="194"/>
    </row>
    <row r="479">
      <c r="B479" s="194"/>
      <c r="C479" s="194"/>
    </row>
    <row r="480">
      <c r="B480" s="194"/>
      <c r="C480" s="194"/>
    </row>
    <row r="481">
      <c r="B481" s="194"/>
      <c r="C481" s="194"/>
    </row>
    <row r="482">
      <c r="B482" s="194"/>
      <c r="C482" s="194"/>
    </row>
    <row r="483">
      <c r="B483" s="194"/>
      <c r="C483" s="194"/>
    </row>
    <row r="484">
      <c r="B484" s="194"/>
      <c r="C484" s="194"/>
    </row>
    <row r="485">
      <c r="B485" s="194"/>
      <c r="C485" s="194"/>
    </row>
    <row r="486">
      <c r="B486" s="194"/>
      <c r="C486" s="194"/>
    </row>
    <row r="487">
      <c r="B487" s="194"/>
      <c r="C487" s="194"/>
    </row>
    <row r="488">
      <c r="B488" s="194"/>
      <c r="C488" s="194"/>
    </row>
    <row r="489">
      <c r="B489" s="194"/>
      <c r="C489" s="194"/>
    </row>
    <row r="490">
      <c r="B490" s="194"/>
      <c r="C490" s="194"/>
    </row>
    <row r="491">
      <c r="B491" s="194"/>
      <c r="C491" s="194"/>
    </row>
    <row r="492">
      <c r="B492" s="194"/>
      <c r="C492" s="194"/>
    </row>
    <row r="493">
      <c r="B493" s="194"/>
      <c r="C493" s="194"/>
    </row>
    <row r="494">
      <c r="B494" s="194"/>
      <c r="C494" s="194"/>
    </row>
    <row r="495">
      <c r="B495" s="194"/>
      <c r="C495" s="194"/>
    </row>
    <row r="496">
      <c r="B496" s="194"/>
      <c r="C496" s="194"/>
    </row>
    <row r="497">
      <c r="B497" s="194"/>
      <c r="C497" s="194"/>
    </row>
    <row r="498">
      <c r="B498" s="194"/>
      <c r="C498" s="194"/>
    </row>
    <row r="499">
      <c r="B499" s="194"/>
      <c r="C499" s="194"/>
    </row>
    <row r="500">
      <c r="B500" s="194"/>
      <c r="C500" s="194"/>
    </row>
    <row r="501">
      <c r="B501" s="194"/>
      <c r="C501" s="194"/>
    </row>
    <row r="502">
      <c r="B502" s="194"/>
      <c r="C502" s="194"/>
    </row>
    <row r="503">
      <c r="B503" s="194"/>
      <c r="C503" s="194"/>
    </row>
    <row r="504">
      <c r="B504" s="194"/>
      <c r="C504" s="194"/>
    </row>
    <row r="505">
      <c r="B505" s="194"/>
      <c r="C505" s="194"/>
    </row>
    <row r="506">
      <c r="B506" s="194"/>
      <c r="C506" s="194"/>
    </row>
    <row r="507">
      <c r="B507" s="194"/>
      <c r="C507" s="194"/>
    </row>
    <row r="508">
      <c r="B508" s="194"/>
      <c r="C508" s="194"/>
    </row>
    <row r="509">
      <c r="B509" s="194"/>
      <c r="C509" s="194"/>
    </row>
    <row r="510">
      <c r="B510" s="194"/>
      <c r="C510" s="194"/>
    </row>
    <row r="511">
      <c r="B511" s="194"/>
      <c r="C511" s="194"/>
    </row>
    <row r="512">
      <c r="B512" s="194"/>
      <c r="C512" s="194"/>
    </row>
    <row r="513">
      <c r="B513" s="194"/>
      <c r="C513" s="194"/>
    </row>
    <row r="514">
      <c r="B514" s="194"/>
      <c r="C514" s="194"/>
    </row>
    <row r="515">
      <c r="B515" s="194"/>
      <c r="C515" s="194"/>
    </row>
    <row r="516">
      <c r="B516" s="194"/>
      <c r="C516" s="194"/>
    </row>
    <row r="517">
      <c r="B517" s="194"/>
      <c r="C517" s="194"/>
    </row>
    <row r="518">
      <c r="B518" s="194"/>
      <c r="C518" s="194"/>
    </row>
    <row r="519">
      <c r="B519" s="194"/>
      <c r="C519" s="194"/>
    </row>
    <row r="520">
      <c r="B520" s="194"/>
      <c r="C520" s="194"/>
    </row>
    <row r="521">
      <c r="B521" s="194"/>
      <c r="C521" s="194"/>
    </row>
    <row r="522">
      <c r="B522" s="194"/>
      <c r="C522" s="194"/>
    </row>
    <row r="523">
      <c r="B523" s="194"/>
      <c r="C523" s="194"/>
    </row>
    <row r="524">
      <c r="B524" s="194"/>
      <c r="C524" s="194"/>
    </row>
    <row r="525">
      <c r="B525" s="194"/>
      <c r="C525" s="194"/>
    </row>
    <row r="526">
      <c r="B526" s="194"/>
      <c r="C526" s="194"/>
    </row>
    <row r="527">
      <c r="B527" s="194"/>
      <c r="C527" s="194"/>
    </row>
    <row r="528">
      <c r="B528" s="194"/>
      <c r="C528" s="194"/>
    </row>
    <row r="529">
      <c r="B529" s="194"/>
      <c r="C529" s="194"/>
    </row>
    <row r="530">
      <c r="B530" s="194"/>
      <c r="C530" s="194"/>
    </row>
    <row r="531">
      <c r="B531" s="194"/>
      <c r="C531" s="194"/>
    </row>
    <row r="532">
      <c r="B532" s="194"/>
      <c r="C532" s="194"/>
    </row>
    <row r="533">
      <c r="B533" s="194"/>
      <c r="C533" s="194"/>
    </row>
    <row r="534">
      <c r="B534" s="194"/>
      <c r="C534" s="194"/>
    </row>
    <row r="535">
      <c r="B535" s="194"/>
      <c r="C535" s="194"/>
    </row>
    <row r="536">
      <c r="B536" s="194"/>
      <c r="C536" s="194"/>
    </row>
    <row r="537">
      <c r="B537" s="194"/>
      <c r="C537" s="194"/>
    </row>
    <row r="538">
      <c r="B538" s="194"/>
      <c r="C538" s="194"/>
    </row>
    <row r="539">
      <c r="B539" s="194"/>
      <c r="C539" s="194"/>
    </row>
    <row r="540">
      <c r="B540" s="194"/>
      <c r="C540" s="194"/>
    </row>
    <row r="541">
      <c r="B541" s="194"/>
      <c r="C541" s="194"/>
    </row>
    <row r="542">
      <c r="B542" s="194"/>
      <c r="C542" s="194"/>
    </row>
    <row r="543">
      <c r="B543" s="194"/>
      <c r="C543" s="194"/>
    </row>
    <row r="544">
      <c r="B544" s="194"/>
      <c r="C544" s="194"/>
    </row>
    <row r="545">
      <c r="B545" s="194"/>
      <c r="C545" s="194"/>
    </row>
    <row r="546">
      <c r="B546" s="194"/>
      <c r="C546" s="194"/>
    </row>
    <row r="547">
      <c r="B547" s="194"/>
      <c r="C547" s="194"/>
    </row>
    <row r="548">
      <c r="B548" s="194"/>
      <c r="C548" s="194"/>
    </row>
    <row r="549">
      <c r="B549" s="194"/>
      <c r="C549" s="194"/>
    </row>
    <row r="550">
      <c r="B550" s="194"/>
      <c r="C550" s="194"/>
    </row>
    <row r="551">
      <c r="B551" s="194"/>
      <c r="C551" s="194"/>
    </row>
    <row r="552">
      <c r="B552" s="194"/>
      <c r="C552" s="194"/>
    </row>
    <row r="553">
      <c r="B553" s="194"/>
      <c r="C553" s="194"/>
    </row>
    <row r="554">
      <c r="B554" s="194"/>
      <c r="C554" s="194"/>
    </row>
    <row r="555">
      <c r="B555" s="194"/>
      <c r="C555" s="194"/>
    </row>
    <row r="556">
      <c r="B556" s="194"/>
      <c r="C556" s="194"/>
    </row>
    <row r="557">
      <c r="B557" s="194"/>
      <c r="C557" s="194"/>
    </row>
    <row r="558">
      <c r="B558" s="194"/>
      <c r="C558" s="194"/>
    </row>
    <row r="559">
      <c r="B559" s="194"/>
      <c r="C559" s="194"/>
    </row>
    <row r="560">
      <c r="B560" s="194"/>
      <c r="C560" s="194"/>
    </row>
    <row r="561">
      <c r="B561" s="194"/>
      <c r="C561" s="194"/>
    </row>
    <row r="562">
      <c r="B562" s="194"/>
      <c r="C562" s="194"/>
    </row>
    <row r="563">
      <c r="B563" s="194"/>
      <c r="C563" s="194"/>
    </row>
    <row r="564">
      <c r="B564" s="194"/>
      <c r="C564" s="194"/>
    </row>
    <row r="565">
      <c r="B565" s="194"/>
      <c r="C565" s="194"/>
    </row>
    <row r="566">
      <c r="B566" s="194"/>
      <c r="C566" s="194"/>
    </row>
    <row r="567">
      <c r="B567" s="194"/>
      <c r="C567" s="194"/>
    </row>
    <row r="568">
      <c r="B568" s="194"/>
      <c r="C568" s="194"/>
    </row>
    <row r="569">
      <c r="B569" s="194"/>
      <c r="C569" s="194"/>
    </row>
    <row r="570">
      <c r="B570" s="194"/>
      <c r="C570" s="194"/>
    </row>
    <row r="571">
      <c r="B571" s="194"/>
      <c r="C571" s="194"/>
    </row>
    <row r="572">
      <c r="B572" s="194"/>
      <c r="C572" s="194"/>
    </row>
    <row r="573">
      <c r="B573" s="194"/>
      <c r="C573" s="194"/>
    </row>
    <row r="574">
      <c r="B574" s="194"/>
      <c r="C574" s="194"/>
    </row>
    <row r="575">
      <c r="B575" s="194"/>
      <c r="C575" s="194"/>
    </row>
    <row r="576">
      <c r="B576" s="194"/>
      <c r="C576" s="194"/>
    </row>
    <row r="577">
      <c r="B577" s="194"/>
      <c r="C577" s="194"/>
    </row>
    <row r="578">
      <c r="B578" s="194"/>
      <c r="C578" s="194"/>
    </row>
    <row r="579">
      <c r="B579" s="194"/>
      <c r="C579" s="194"/>
    </row>
    <row r="580">
      <c r="B580" s="194"/>
      <c r="C580" s="194"/>
    </row>
    <row r="581">
      <c r="B581" s="194"/>
      <c r="C581" s="194"/>
    </row>
    <row r="582">
      <c r="B582" s="194"/>
      <c r="C582" s="194"/>
    </row>
    <row r="583">
      <c r="B583" s="194"/>
      <c r="C583" s="194"/>
    </row>
    <row r="584">
      <c r="B584" s="194"/>
      <c r="C584" s="194"/>
    </row>
    <row r="585">
      <c r="B585" s="194"/>
      <c r="C585" s="194"/>
    </row>
    <row r="586">
      <c r="B586" s="194"/>
      <c r="C586" s="194"/>
    </row>
    <row r="587">
      <c r="B587" s="194"/>
      <c r="C587" s="194"/>
    </row>
    <row r="588">
      <c r="B588" s="194"/>
      <c r="C588" s="194"/>
    </row>
    <row r="589">
      <c r="B589" s="194"/>
      <c r="C589" s="194"/>
    </row>
    <row r="590">
      <c r="B590" s="194"/>
      <c r="C590" s="194"/>
    </row>
    <row r="591">
      <c r="B591" s="194"/>
      <c r="C591" s="194"/>
    </row>
    <row r="592">
      <c r="B592" s="194"/>
      <c r="C592" s="194"/>
    </row>
    <row r="593">
      <c r="B593" s="194"/>
      <c r="C593" s="194"/>
    </row>
    <row r="594">
      <c r="B594" s="194"/>
      <c r="C594" s="194"/>
    </row>
    <row r="595">
      <c r="B595" s="194"/>
      <c r="C595" s="194"/>
    </row>
    <row r="596">
      <c r="B596" s="194"/>
      <c r="C596" s="194"/>
    </row>
    <row r="597">
      <c r="B597" s="194"/>
      <c r="C597" s="194"/>
    </row>
    <row r="598">
      <c r="B598" s="194"/>
      <c r="C598" s="194"/>
    </row>
    <row r="599">
      <c r="B599" s="194"/>
      <c r="C599" s="194"/>
    </row>
    <row r="600">
      <c r="B600" s="194"/>
      <c r="C600" s="194"/>
    </row>
    <row r="601">
      <c r="B601" s="194"/>
      <c r="C601" s="194"/>
    </row>
    <row r="602">
      <c r="B602" s="194"/>
      <c r="C602" s="194"/>
    </row>
    <row r="603">
      <c r="B603" s="194"/>
      <c r="C603" s="194"/>
    </row>
    <row r="604">
      <c r="B604" s="194"/>
      <c r="C604" s="194"/>
    </row>
    <row r="605">
      <c r="B605" s="194"/>
      <c r="C605" s="194"/>
    </row>
    <row r="606">
      <c r="B606" s="194"/>
      <c r="C606" s="194"/>
    </row>
    <row r="607">
      <c r="B607" s="194"/>
      <c r="C607" s="194"/>
    </row>
    <row r="608">
      <c r="B608" s="194"/>
      <c r="C608" s="194"/>
    </row>
    <row r="609">
      <c r="B609" s="194"/>
      <c r="C609" s="194"/>
    </row>
    <row r="610">
      <c r="B610" s="194"/>
      <c r="C610" s="194"/>
    </row>
    <row r="611">
      <c r="B611" s="194"/>
      <c r="C611" s="194"/>
    </row>
    <row r="612">
      <c r="B612" s="194"/>
      <c r="C612" s="194"/>
    </row>
    <row r="613">
      <c r="B613" s="194"/>
      <c r="C613" s="194"/>
    </row>
    <row r="614">
      <c r="B614" s="194"/>
      <c r="C614" s="194"/>
    </row>
    <row r="615">
      <c r="B615" s="194"/>
      <c r="C615" s="194"/>
    </row>
    <row r="616">
      <c r="B616" s="194"/>
      <c r="C616" s="194"/>
    </row>
    <row r="617">
      <c r="B617" s="194"/>
      <c r="C617" s="194"/>
    </row>
    <row r="618">
      <c r="B618" s="194"/>
      <c r="C618" s="194"/>
    </row>
    <row r="619">
      <c r="B619" s="194"/>
      <c r="C619" s="194"/>
    </row>
    <row r="620">
      <c r="B620" s="194"/>
      <c r="C620" s="194"/>
    </row>
    <row r="621">
      <c r="B621" s="194"/>
      <c r="C621" s="194"/>
    </row>
    <row r="622">
      <c r="B622" s="194"/>
      <c r="C622" s="194"/>
    </row>
    <row r="623">
      <c r="B623" s="194"/>
      <c r="C623" s="194"/>
    </row>
    <row r="624">
      <c r="B624" s="194"/>
      <c r="C624" s="194"/>
    </row>
    <row r="625">
      <c r="B625" s="194"/>
      <c r="C625" s="194"/>
    </row>
    <row r="626">
      <c r="B626" s="194"/>
      <c r="C626" s="194"/>
    </row>
    <row r="627">
      <c r="B627" s="194"/>
      <c r="C627" s="194"/>
    </row>
    <row r="628">
      <c r="B628" s="194"/>
      <c r="C628" s="194"/>
    </row>
    <row r="629">
      <c r="B629" s="194"/>
      <c r="C629" s="194"/>
    </row>
    <row r="630">
      <c r="B630" s="194"/>
      <c r="C630" s="194"/>
    </row>
    <row r="631">
      <c r="B631" s="194"/>
      <c r="C631" s="194"/>
    </row>
    <row r="632">
      <c r="B632" s="194"/>
      <c r="C632" s="194"/>
    </row>
    <row r="633">
      <c r="B633" s="194"/>
      <c r="C633" s="194"/>
    </row>
    <row r="634">
      <c r="B634" s="194"/>
      <c r="C634" s="194"/>
    </row>
    <row r="635">
      <c r="B635" s="194"/>
      <c r="C635" s="194"/>
    </row>
    <row r="636">
      <c r="B636" s="194"/>
      <c r="C636" s="194"/>
    </row>
    <row r="637">
      <c r="B637" s="194"/>
      <c r="C637" s="194"/>
    </row>
    <row r="638">
      <c r="B638" s="194"/>
      <c r="C638" s="194"/>
    </row>
    <row r="639">
      <c r="B639" s="194"/>
      <c r="C639" s="194"/>
    </row>
    <row r="640">
      <c r="B640" s="194"/>
      <c r="C640" s="194"/>
    </row>
    <row r="641">
      <c r="B641" s="194"/>
      <c r="C641" s="194"/>
    </row>
    <row r="642">
      <c r="B642" s="194"/>
      <c r="C642" s="194"/>
    </row>
    <row r="643">
      <c r="B643" s="194"/>
      <c r="C643" s="194"/>
    </row>
    <row r="644">
      <c r="B644" s="194"/>
      <c r="C644" s="194"/>
    </row>
    <row r="645">
      <c r="B645" s="194"/>
      <c r="C645" s="194"/>
    </row>
    <row r="646">
      <c r="B646" s="194"/>
      <c r="C646" s="194"/>
    </row>
    <row r="647">
      <c r="B647" s="194"/>
      <c r="C647" s="194"/>
    </row>
    <row r="648">
      <c r="B648" s="194"/>
      <c r="C648" s="194"/>
    </row>
    <row r="649">
      <c r="B649" s="194"/>
      <c r="C649" s="194"/>
    </row>
    <row r="650">
      <c r="B650" s="194"/>
      <c r="C650" s="194"/>
    </row>
    <row r="651">
      <c r="B651" s="194"/>
      <c r="C651" s="194"/>
    </row>
    <row r="652">
      <c r="B652" s="194"/>
      <c r="C652" s="194"/>
    </row>
    <row r="653">
      <c r="B653" s="194"/>
      <c r="C653" s="194"/>
    </row>
    <row r="654">
      <c r="B654" s="194"/>
      <c r="C654" s="194"/>
    </row>
    <row r="655">
      <c r="B655" s="194"/>
      <c r="C655" s="194"/>
    </row>
    <row r="656">
      <c r="B656" s="194"/>
      <c r="C656" s="194"/>
    </row>
    <row r="657">
      <c r="B657" s="194"/>
      <c r="C657" s="194"/>
    </row>
    <row r="658">
      <c r="B658" s="194"/>
      <c r="C658" s="194"/>
    </row>
    <row r="659">
      <c r="B659" s="194"/>
      <c r="C659" s="194"/>
    </row>
    <row r="660">
      <c r="B660" s="194"/>
      <c r="C660" s="194"/>
    </row>
    <row r="661">
      <c r="B661" s="194"/>
      <c r="C661" s="194"/>
    </row>
    <row r="662">
      <c r="B662" s="194"/>
      <c r="C662" s="194"/>
    </row>
    <row r="663">
      <c r="B663" s="194"/>
      <c r="C663" s="194"/>
    </row>
    <row r="664">
      <c r="B664" s="194"/>
      <c r="C664" s="194"/>
    </row>
    <row r="665">
      <c r="B665" s="194"/>
      <c r="C665" s="194"/>
    </row>
    <row r="666">
      <c r="B666" s="194"/>
      <c r="C666" s="194"/>
    </row>
    <row r="667">
      <c r="B667" s="194"/>
      <c r="C667" s="194"/>
    </row>
    <row r="668">
      <c r="B668" s="194"/>
      <c r="C668" s="194"/>
    </row>
    <row r="669">
      <c r="B669" s="194"/>
      <c r="C669" s="194"/>
    </row>
    <row r="670">
      <c r="B670" s="194"/>
      <c r="C670" s="194"/>
    </row>
    <row r="671">
      <c r="B671" s="194"/>
      <c r="C671" s="194"/>
    </row>
    <row r="672">
      <c r="B672" s="194"/>
      <c r="C672" s="194"/>
    </row>
    <row r="673">
      <c r="B673" s="194"/>
      <c r="C673" s="194"/>
    </row>
    <row r="674">
      <c r="B674" s="194"/>
      <c r="C674" s="194"/>
    </row>
    <row r="675">
      <c r="B675" s="194"/>
      <c r="C675" s="194"/>
    </row>
    <row r="676">
      <c r="B676" s="194"/>
      <c r="C676" s="194"/>
    </row>
    <row r="677">
      <c r="B677" s="194"/>
      <c r="C677" s="194"/>
    </row>
    <row r="678">
      <c r="B678" s="194"/>
      <c r="C678" s="194"/>
    </row>
    <row r="679">
      <c r="B679" s="194"/>
      <c r="C679" s="194"/>
    </row>
    <row r="680">
      <c r="B680" s="194"/>
      <c r="C680" s="194"/>
    </row>
    <row r="681">
      <c r="B681" s="194"/>
      <c r="C681" s="194"/>
    </row>
    <row r="682">
      <c r="B682" s="194"/>
      <c r="C682" s="194"/>
    </row>
    <row r="683">
      <c r="B683" s="194"/>
      <c r="C683" s="194"/>
    </row>
    <row r="684">
      <c r="B684" s="194"/>
      <c r="C684" s="194"/>
    </row>
    <row r="685">
      <c r="B685" s="194"/>
      <c r="C685" s="194"/>
    </row>
    <row r="686">
      <c r="B686" s="194"/>
      <c r="C686" s="194"/>
    </row>
    <row r="687">
      <c r="B687" s="194"/>
      <c r="C687" s="194"/>
    </row>
    <row r="688">
      <c r="B688" s="194"/>
      <c r="C688" s="194"/>
    </row>
    <row r="689">
      <c r="B689" s="194"/>
      <c r="C689" s="194"/>
    </row>
    <row r="690">
      <c r="B690" s="194"/>
      <c r="C690" s="194"/>
    </row>
    <row r="691">
      <c r="B691" s="194"/>
      <c r="C691" s="194"/>
    </row>
    <row r="692">
      <c r="B692" s="194"/>
      <c r="C692" s="194"/>
    </row>
    <row r="693">
      <c r="B693" s="194"/>
      <c r="C693" s="194"/>
    </row>
    <row r="694">
      <c r="B694" s="194"/>
      <c r="C694" s="194"/>
    </row>
    <row r="695">
      <c r="B695" s="194"/>
      <c r="C695" s="194"/>
    </row>
    <row r="696">
      <c r="B696" s="194"/>
      <c r="C696" s="194"/>
    </row>
    <row r="697">
      <c r="B697" s="194"/>
      <c r="C697" s="194"/>
    </row>
    <row r="698">
      <c r="B698" s="194"/>
      <c r="C698" s="194"/>
    </row>
    <row r="699">
      <c r="B699" s="194"/>
      <c r="C699" s="194"/>
    </row>
    <row r="700">
      <c r="B700" s="194"/>
      <c r="C700" s="194"/>
    </row>
    <row r="701">
      <c r="B701" s="194"/>
      <c r="C701" s="194"/>
    </row>
    <row r="702">
      <c r="B702" s="194"/>
      <c r="C702" s="194"/>
    </row>
    <row r="703">
      <c r="B703" s="194"/>
      <c r="C703" s="194"/>
    </row>
    <row r="704">
      <c r="B704" s="194"/>
      <c r="C704" s="194"/>
    </row>
    <row r="705">
      <c r="B705" s="194"/>
      <c r="C705" s="194"/>
    </row>
    <row r="706">
      <c r="B706" s="194"/>
      <c r="C706" s="194"/>
    </row>
    <row r="707">
      <c r="B707" s="194"/>
      <c r="C707" s="194"/>
    </row>
    <row r="708">
      <c r="B708" s="194"/>
      <c r="C708" s="194"/>
    </row>
    <row r="709">
      <c r="B709" s="194"/>
      <c r="C709" s="194"/>
    </row>
    <row r="710">
      <c r="B710" s="194"/>
      <c r="C710" s="194"/>
    </row>
    <row r="711">
      <c r="B711" s="194"/>
      <c r="C711" s="194"/>
    </row>
    <row r="712">
      <c r="B712" s="194"/>
      <c r="C712" s="194"/>
    </row>
    <row r="713">
      <c r="B713" s="194"/>
      <c r="C713" s="194"/>
    </row>
    <row r="714">
      <c r="B714" s="194"/>
      <c r="C714" s="194"/>
    </row>
    <row r="715">
      <c r="B715" s="194"/>
      <c r="C715" s="194"/>
    </row>
    <row r="716">
      <c r="B716" s="194"/>
      <c r="C716" s="194"/>
    </row>
    <row r="717">
      <c r="B717" s="194"/>
      <c r="C717" s="194"/>
    </row>
    <row r="718">
      <c r="B718" s="194"/>
      <c r="C718" s="194"/>
    </row>
    <row r="719">
      <c r="B719" s="194"/>
      <c r="C719" s="194"/>
    </row>
    <row r="720">
      <c r="B720" s="194"/>
      <c r="C720" s="194"/>
    </row>
    <row r="721">
      <c r="B721" s="194"/>
      <c r="C721" s="194"/>
    </row>
    <row r="722">
      <c r="B722" s="194"/>
      <c r="C722" s="194"/>
    </row>
    <row r="723">
      <c r="B723" s="194"/>
      <c r="C723" s="194"/>
    </row>
    <row r="724">
      <c r="B724" s="194"/>
      <c r="C724" s="194"/>
    </row>
    <row r="725">
      <c r="B725" s="194"/>
      <c r="C725" s="194"/>
    </row>
    <row r="726">
      <c r="B726" s="194"/>
      <c r="C726" s="194"/>
    </row>
    <row r="727">
      <c r="B727" s="194"/>
      <c r="C727" s="194"/>
    </row>
    <row r="728">
      <c r="B728" s="194"/>
      <c r="C728" s="194"/>
    </row>
    <row r="729">
      <c r="B729" s="194"/>
      <c r="C729" s="194"/>
    </row>
    <row r="730">
      <c r="B730" s="194"/>
      <c r="C730" s="194"/>
    </row>
    <row r="731">
      <c r="B731" s="194"/>
      <c r="C731" s="194"/>
    </row>
    <row r="732">
      <c r="B732" s="194"/>
      <c r="C732" s="194"/>
    </row>
    <row r="733">
      <c r="B733" s="194"/>
      <c r="C733" s="194"/>
    </row>
    <row r="734">
      <c r="B734" s="194"/>
      <c r="C734" s="194"/>
    </row>
    <row r="735">
      <c r="B735" s="194"/>
      <c r="C735" s="194"/>
    </row>
    <row r="736">
      <c r="B736" s="194"/>
      <c r="C736" s="194"/>
    </row>
    <row r="737">
      <c r="B737" s="194"/>
      <c r="C737" s="194"/>
    </row>
    <row r="738">
      <c r="B738" s="194"/>
      <c r="C738" s="194"/>
    </row>
    <row r="739">
      <c r="B739" s="194"/>
      <c r="C739" s="194"/>
    </row>
    <row r="740">
      <c r="B740" s="194"/>
      <c r="C740" s="194"/>
    </row>
    <row r="741">
      <c r="B741" s="194"/>
      <c r="C741" s="194"/>
    </row>
    <row r="742">
      <c r="B742" s="194"/>
      <c r="C742" s="194"/>
    </row>
    <row r="743">
      <c r="B743" s="194"/>
      <c r="C743" s="194"/>
    </row>
    <row r="744">
      <c r="B744" s="194"/>
      <c r="C744" s="194"/>
    </row>
    <row r="745">
      <c r="B745" s="194"/>
      <c r="C745" s="194"/>
    </row>
    <row r="746">
      <c r="B746" s="194"/>
      <c r="C746" s="194"/>
    </row>
    <row r="747">
      <c r="B747" s="194"/>
      <c r="C747" s="194"/>
    </row>
    <row r="748">
      <c r="B748" s="194"/>
      <c r="C748" s="194"/>
    </row>
    <row r="749">
      <c r="B749" s="194"/>
      <c r="C749" s="194"/>
    </row>
    <row r="750">
      <c r="B750" s="194"/>
      <c r="C750" s="194"/>
    </row>
    <row r="751">
      <c r="B751" s="194"/>
      <c r="C751" s="194"/>
    </row>
    <row r="752">
      <c r="B752" s="194"/>
      <c r="C752" s="194"/>
    </row>
    <row r="753">
      <c r="B753" s="194"/>
      <c r="C753" s="194"/>
    </row>
    <row r="754">
      <c r="B754" s="194"/>
      <c r="C754" s="194"/>
    </row>
    <row r="755">
      <c r="B755" s="194"/>
      <c r="C755" s="194"/>
    </row>
    <row r="756">
      <c r="B756" s="194"/>
      <c r="C756" s="194"/>
    </row>
    <row r="757">
      <c r="B757" s="194"/>
      <c r="C757" s="194"/>
    </row>
    <row r="758">
      <c r="B758" s="194"/>
      <c r="C758" s="194"/>
    </row>
    <row r="759">
      <c r="B759" s="194"/>
      <c r="C759" s="194"/>
    </row>
    <row r="760">
      <c r="B760" s="194"/>
      <c r="C760" s="194"/>
    </row>
    <row r="761">
      <c r="B761" s="194"/>
      <c r="C761" s="194"/>
    </row>
    <row r="762">
      <c r="B762" s="194"/>
      <c r="C762" s="194"/>
    </row>
    <row r="763">
      <c r="B763" s="194"/>
      <c r="C763" s="194"/>
    </row>
    <row r="764">
      <c r="B764" s="194"/>
      <c r="C764" s="194"/>
    </row>
    <row r="765">
      <c r="B765" s="194"/>
      <c r="C765" s="194"/>
    </row>
    <row r="766">
      <c r="B766" s="194"/>
      <c r="C766" s="194"/>
    </row>
    <row r="767">
      <c r="B767" s="194"/>
      <c r="C767" s="194"/>
    </row>
    <row r="768">
      <c r="B768" s="194"/>
      <c r="C768" s="194"/>
    </row>
    <row r="769">
      <c r="B769" s="194"/>
      <c r="C769" s="194"/>
    </row>
    <row r="770">
      <c r="B770" s="194"/>
      <c r="C770" s="194"/>
    </row>
    <row r="771">
      <c r="B771" s="194"/>
      <c r="C771" s="194"/>
    </row>
    <row r="772">
      <c r="B772" s="194"/>
      <c r="C772" s="194"/>
    </row>
    <row r="773">
      <c r="B773" s="194"/>
      <c r="C773" s="194"/>
    </row>
    <row r="774">
      <c r="B774" s="194"/>
      <c r="C774" s="194"/>
    </row>
    <row r="775">
      <c r="B775" s="194"/>
      <c r="C775" s="194"/>
    </row>
    <row r="776">
      <c r="B776" s="194"/>
      <c r="C776" s="194"/>
    </row>
    <row r="777">
      <c r="B777" s="194"/>
      <c r="C777" s="194"/>
    </row>
    <row r="778">
      <c r="B778" s="194"/>
      <c r="C778" s="194"/>
    </row>
    <row r="779">
      <c r="B779" s="194"/>
      <c r="C779" s="194"/>
    </row>
    <row r="780">
      <c r="B780" s="194"/>
      <c r="C780" s="194"/>
    </row>
    <row r="781">
      <c r="B781" s="194"/>
      <c r="C781" s="194"/>
    </row>
    <row r="782">
      <c r="B782" s="194"/>
      <c r="C782" s="194"/>
    </row>
    <row r="783">
      <c r="B783" s="194"/>
      <c r="C783" s="194"/>
    </row>
    <row r="784">
      <c r="B784" s="194"/>
      <c r="C784" s="194"/>
    </row>
    <row r="785">
      <c r="B785" s="194"/>
      <c r="C785" s="194"/>
    </row>
    <row r="786">
      <c r="B786" s="194"/>
      <c r="C786" s="194"/>
    </row>
    <row r="787">
      <c r="B787" s="194"/>
      <c r="C787" s="194"/>
    </row>
    <row r="788">
      <c r="B788" s="194"/>
      <c r="C788" s="194"/>
    </row>
    <row r="789">
      <c r="B789" s="194"/>
      <c r="C789" s="194"/>
    </row>
    <row r="790">
      <c r="B790" s="194"/>
      <c r="C790" s="194"/>
    </row>
    <row r="791">
      <c r="B791" s="194"/>
      <c r="C791" s="194"/>
    </row>
    <row r="792">
      <c r="B792" s="194"/>
      <c r="C792" s="194"/>
    </row>
    <row r="793">
      <c r="B793" s="194"/>
      <c r="C793" s="194"/>
    </row>
    <row r="794">
      <c r="B794" s="194"/>
      <c r="C794" s="194"/>
    </row>
    <row r="795">
      <c r="B795" s="194"/>
      <c r="C795" s="194"/>
    </row>
    <row r="796">
      <c r="B796" s="194"/>
      <c r="C796" s="194"/>
    </row>
    <row r="797">
      <c r="B797" s="194"/>
      <c r="C797" s="194"/>
    </row>
    <row r="798">
      <c r="B798" s="194"/>
      <c r="C798" s="194"/>
    </row>
    <row r="799">
      <c r="B799" s="194"/>
      <c r="C799" s="194"/>
    </row>
    <row r="800">
      <c r="B800" s="194"/>
      <c r="C800" s="194"/>
    </row>
    <row r="801">
      <c r="B801" s="194"/>
      <c r="C801" s="194"/>
    </row>
    <row r="802">
      <c r="B802" s="194"/>
      <c r="C802" s="194"/>
    </row>
    <row r="803">
      <c r="B803" s="194"/>
      <c r="C803" s="194"/>
    </row>
    <row r="804">
      <c r="B804" s="194"/>
      <c r="C804" s="194"/>
    </row>
    <row r="805">
      <c r="B805" s="194"/>
      <c r="C805" s="194"/>
    </row>
    <row r="806">
      <c r="B806" s="194"/>
      <c r="C806" s="194"/>
    </row>
    <row r="807">
      <c r="B807" s="194"/>
      <c r="C807" s="194"/>
    </row>
    <row r="808">
      <c r="B808" s="194"/>
      <c r="C808" s="194"/>
    </row>
    <row r="809">
      <c r="B809" s="194"/>
      <c r="C809" s="194"/>
    </row>
    <row r="810">
      <c r="B810" s="194"/>
      <c r="C810" s="194"/>
    </row>
    <row r="811">
      <c r="B811" s="194"/>
      <c r="C811" s="194"/>
    </row>
    <row r="812">
      <c r="B812" s="194"/>
      <c r="C812" s="194"/>
    </row>
    <row r="813">
      <c r="B813" s="194"/>
      <c r="C813" s="194"/>
    </row>
    <row r="814">
      <c r="B814" s="194"/>
      <c r="C814" s="194"/>
    </row>
    <row r="815">
      <c r="B815" s="194"/>
      <c r="C815" s="194"/>
    </row>
    <row r="816">
      <c r="B816" s="194"/>
      <c r="C816" s="194"/>
    </row>
    <row r="817">
      <c r="B817" s="194"/>
      <c r="C817" s="194"/>
    </row>
    <row r="818">
      <c r="B818" s="194"/>
      <c r="C818" s="194"/>
    </row>
    <row r="819">
      <c r="B819" s="194"/>
      <c r="C819" s="194"/>
    </row>
    <row r="820">
      <c r="B820" s="194"/>
      <c r="C820" s="194"/>
    </row>
    <row r="821">
      <c r="B821" s="194"/>
      <c r="C821" s="194"/>
    </row>
    <row r="822">
      <c r="B822" s="194"/>
      <c r="C822" s="194"/>
    </row>
    <row r="823">
      <c r="B823" s="194"/>
      <c r="C823" s="194"/>
    </row>
    <row r="824">
      <c r="B824" s="194"/>
      <c r="C824" s="194"/>
    </row>
    <row r="825">
      <c r="B825" s="194"/>
      <c r="C825" s="194"/>
    </row>
    <row r="826">
      <c r="B826" s="194"/>
      <c r="C826" s="194"/>
    </row>
    <row r="827">
      <c r="B827" s="194"/>
      <c r="C827" s="194"/>
    </row>
    <row r="828">
      <c r="B828" s="194"/>
      <c r="C828" s="194"/>
    </row>
    <row r="829">
      <c r="B829" s="194"/>
      <c r="C829" s="194"/>
    </row>
    <row r="830">
      <c r="B830" s="194"/>
      <c r="C830" s="194"/>
    </row>
    <row r="831">
      <c r="B831" s="194"/>
      <c r="C831" s="194"/>
    </row>
    <row r="832">
      <c r="B832" s="194"/>
      <c r="C832" s="194"/>
    </row>
    <row r="833">
      <c r="B833" s="194"/>
      <c r="C833" s="194"/>
    </row>
    <row r="834">
      <c r="B834" s="194"/>
      <c r="C834" s="194"/>
    </row>
    <row r="835">
      <c r="B835" s="194"/>
      <c r="C835" s="194"/>
    </row>
    <row r="836">
      <c r="B836" s="194"/>
      <c r="C836" s="194"/>
    </row>
    <row r="837">
      <c r="B837" s="194"/>
      <c r="C837" s="194"/>
    </row>
    <row r="838">
      <c r="B838" s="194"/>
      <c r="C838" s="194"/>
    </row>
    <row r="839">
      <c r="B839" s="194"/>
      <c r="C839" s="194"/>
    </row>
    <row r="840">
      <c r="B840" s="194"/>
      <c r="C840" s="194"/>
    </row>
    <row r="841">
      <c r="B841" s="194"/>
      <c r="C841" s="194"/>
    </row>
    <row r="842">
      <c r="B842" s="194"/>
      <c r="C842" s="194"/>
    </row>
    <row r="843">
      <c r="B843" s="194"/>
      <c r="C843" s="194"/>
    </row>
    <row r="844">
      <c r="B844" s="194"/>
      <c r="C844" s="194"/>
    </row>
    <row r="845">
      <c r="B845" s="194"/>
      <c r="C845" s="194"/>
    </row>
    <row r="846">
      <c r="B846" s="194"/>
      <c r="C846" s="194"/>
    </row>
    <row r="847">
      <c r="B847" s="194"/>
      <c r="C847" s="194"/>
    </row>
    <row r="848">
      <c r="B848" s="194"/>
      <c r="C848" s="194"/>
    </row>
    <row r="849">
      <c r="B849" s="194"/>
      <c r="C849" s="194"/>
    </row>
    <row r="850">
      <c r="B850" s="194"/>
      <c r="C850" s="194"/>
    </row>
    <row r="851">
      <c r="B851" s="194"/>
      <c r="C851" s="194"/>
    </row>
    <row r="852">
      <c r="B852" s="194"/>
      <c r="C852" s="194"/>
    </row>
    <row r="853">
      <c r="B853" s="194"/>
      <c r="C853" s="194"/>
    </row>
    <row r="854">
      <c r="B854" s="194"/>
      <c r="C854" s="194"/>
    </row>
    <row r="855">
      <c r="B855" s="194"/>
      <c r="C855" s="194"/>
    </row>
    <row r="856">
      <c r="B856" s="194"/>
      <c r="C856" s="194"/>
    </row>
    <row r="857">
      <c r="B857" s="194"/>
      <c r="C857" s="194"/>
    </row>
    <row r="858">
      <c r="B858" s="194"/>
      <c r="C858" s="194"/>
    </row>
    <row r="859">
      <c r="B859" s="194"/>
      <c r="C859" s="194"/>
    </row>
    <row r="860">
      <c r="B860" s="194"/>
      <c r="C860" s="194"/>
    </row>
    <row r="861">
      <c r="B861" s="194"/>
      <c r="C861" s="194"/>
    </row>
    <row r="862">
      <c r="B862" s="194"/>
      <c r="C862" s="194"/>
    </row>
    <row r="863">
      <c r="B863" s="194"/>
      <c r="C863" s="194"/>
    </row>
    <row r="864">
      <c r="B864" s="194"/>
      <c r="C864" s="194"/>
    </row>
    <row r="865">
      <c r="B865" s="194"/>
      <c r="C865" s="194"/>
    </row>
    <row r="866">
      <c r="B866" s="194"/>
      <c r="C866" s="194"/>
    </row>
    <row r="867">
      <c r="B867" s="194"/>
      <c r="C867" s="194"/>
    </row>
    <row r="868">
      <c r="B868" s="194"/>
      <c r="C868" s="194"/>
    </row>
    <row r="869">
      <c r="B869" s="194"/>
      <c r="C869" s="194"/>
    </row>
    <row r="870">
      <c r="B870" s="194"/>
      <c r="C870" s="194"/>
    </row>
    <row r="871">
      <c r="B871" s="194"/>
      <c r="C871" s="194"/>
    </row>
    <row r="872">
      <c r="B872" s="194"/>
      <c r="C872" s="194"/>
    </row>
    <row r="873">
      <c r="B873" s="194"/>
      <c r="C873" s="194"/>
    </row>
    <row r="874">
      <c r="B874" s="194"/>
      <c r="C874" s="194"/>
    </row>
    <row r="875">
      <c r="B875" s="194"/>
      <c r="C875" s="194"/>
    </row>
    <row r="876">
      <c r="B876" s="194"/>
      <c r="C876" s="194"/>
    </row>
    <row r="877">
      <c r="B877" s="194"/>
      <c r="C877" s="194"/>
    </row>
    <row r="878">
      <c r="B878" s="194"/>
      <c r="C878" s="194"/>
    </row>
    <row r="879">
      <c r="B879" s="194"/>
      <c r="C879" s="194"/>
    </row>
    <row r="880">
      <c r="B880" s="194"/>
      <c r="C880" s="194"/>
    </row>
    <row r="881">
      <c r="B881" s="194"/>
      <c r="C881" s="194"/>
    </row>
    <row r="882">
      <c r="B882" s="194"/>
      <c r="C882" s="194"/>
    </row>
    <row r="883">
      <c r="B883" s="194"/>
      <c r="C883" s="194"/>
    </row>
    <row r="884">
      <c r="B884" s="194"/>
      <c r="C884" s="194"/>
    </row>
    <row r="885">
      <c r="B885" s="194"/>
      <c r="C885" s="194"/>
    </row>
    <row r="886">
      <c r="B886" s="194"/>
      <c r="C886" s="194"/>
    </row>
    <row r="887">
      <c r="B887" s="194"/>
      <c r="C887" s="194"/>
    </row>
    <row r="888">
      <c r="B888" s="194"/>
      <c r="C888" s="194"/>
    </row>
    <row r="889">
      <c r="B889" s="194"/>
      <c r="C889" s="194"/>
    </row>
    <row r="890">
      <c r="B890" s="194"/>
      <c r="C890" s="194"/>
    </row>
    <row r="891">
      <c r="B891" s="194"/>
      <c r="C891" s="194"/>
    </row>
    <row r="892">
      <c r="B892" s="194"/>
      <c r="C892" s="194"/>
    </row>
    <row r="893">
      <c r="B893" s="194"/>
      <c r="C893" s="194"/>
    </row>
    <row r="894">
      <c r="B894" s="194"/>
      <c r="C894" s="194"/>
    </row>
    <row r="895">
      <c r="B895" s="194"/>
      <c r="C895" s="194"/>
    </row>
    <row r="896">
      <c r="B896" s="194"/>
      <c r="C896" s="194"/>
    </row>
    <row r="897">
      <c r="B897" s="194"/>
      <c r="C897" s="194"/>
    </row>
    <row r="898">
      <c r="B898" s="194"/>
      <c r="C898" s="194"/>
    </row>
    <row r="899">
      <c r="B899" s="194"/>
      <c r="C899" s="194"/>
    </row>
    <row r="900">
      <c r="B900" s="194"/>
      <c r="C900" s="194"/>
    </row>
    <row r="901">
      <c r="B901" s="194"/>
      <c r="C901" s="194"/>
    </row>
    <row r="902">
      <c r="B902" s="194"/>
      <c r="C902" s="194"/>
    </row>
    <row r="903">
      <c r="B903" s="194"/>
      <c r="C903" s="194"/>
    </row>
    <row r="904">
      <c r="B904" s="194"/>
      <c r="C904" s="194"/>
    </row>
    <row r="905">
      <c r="B905" s="194"/>
      <c r="C905" s="194"/>
    </row>
    <row r="906">
      <c r="B906" s="194"/>
      <c r="C906" s="194"/>
    </row>
    <row r="907">
      <c r="B907" s="194"/>
      <c r="C907" s="194"/>
    </row>
    <row r="908">
      <c r="B908" s="194"/>
      <c r="C908" s="194"/>
    </row>
    <row r="909">
      <c r="B909" s="194"/>
      <c r="C909" s="194"/>
    </row>
    <row r="910">
      <c r="B910" s="194"/>
      <c r="C910" s="194"/>
    </row>
    <row r="911">
      <c r="B911" s="194"/>
      <c r="C911" s="194"/>
    </row>
    <row r="912">
      <c r="B912" s="194"/>
      <c r="C912" s="194"/>
    </row>
    <row r="913">
      <c r="B913" s="194"/>
      <c r="C913" s="194"/>
    </row>
    <row r="914">
      <c r="B914" s="194"/>
      <c r="C914" s="194"/>
    </row>
    <row r="915">
      <c r="B915" s="194"/>
      <c r="C915" s="194"/>
    </row>
    <row r="916">
      <c r="B916" s="194"/>
      <c r="C916" s="194"/>
    </row>
    <row r="917">
      <c r="B917" s="194"/>
      <c r="C917" s="194"/>
    </row>
    <row r="918">
      <c r="B918" s="194"/>
      <c r="C918" s="194"/>
    </row>
    <row r="919">
      <c r="B919" s="194"/>
      <c r="C919" s="194"/>
    </row>
    <row r="920">
      <c r="B920" s="194"/>
      <c r="C920" s="194"/>
    </row>
    <row r="921">
      <c r="B921" s="194"/>
      <c r="C921" s="194"/>
    </row>
    <row r="922">
      <c r="B922" s="194"/>
      <c r="C922" s="194"/>
    </row>
    <row r="923">
      <c r="B923" s="194"/>
      <c r="C923" s="194"/>
    </row>
    <row r="924">
      <c r="B924" s="194"/>
      <c r="C924" s="194"/>
    </row>
    <row r="925">
      <c r="B925" s="194"/>
      <c r="C925" s="194"/>
    </row>
    <row r="926">
      <c r="B926" s="194"/>
      <c r="C926" s="194"/>
    </row>
    <row r="927">
      <c r="B927" s="194"/>
      <c r="C927" s="194"/>
    </row>
    <row r="928">
      <c r="B928" s="194"/>
      <c r="C928" s="194"/>
    </row>
    <row r="929">
      <c r="B929" s="194"/>
      <c r="C929" s="194"/>
    </row>
    <row r="930">
      <c r="B930" s="194"/>
      <c r="C930" s="194"/>
    </row>
    <row r="931">
      <c r="B931" s="194"/>
      <c r="C931" s="194"/>
    </row>
    <row r="932">
      <c r="B932" s="194"/>
      <c r="C932" s="194"/>
    </row>
    <row r="933">
      <c r="B933" s="194"/>
      <c r="C933" s="194"/>
    </row>
    <row r="934">
      <c r="B934" s="194"/>
      <c r="C934" s="194"/>
    </row>
    <row r="935">
      <c r="B935" s="194"/>
      <c r="C935" s="194"/>
    </row>
    <row r="936">
      <c r="B936" s="194"/>
      <c r="C936" s="194"/>
    </row>
    <row r="937">
      <c r="B937" s="194"/>
      <c r="C937" s="194"/>
    </row>
    <row r="938">
      <c r="B938" s="194"/>
      <c r="C938" s="194"/>
    </row>
    <row r="939">
      <c r="B939" s="194"/>
      <c r="C939" s="194"/>
    </row>
    <row r="940">
      <c r="B940" s="194"/>
      <c r="C940" s="194"/>
    </row>
    <row r="941">
      <c r="B941" s="194"/>
      <c r="C941" s="194"/>
    </row>
    <row r="942">
      <c r="B942" s="194"/>
      <c r="C942" s="194"/>
    </row>
    <row r="943">
      <c r="B943" s="194"/>
      <c r="C943" s="194"/>
    </row>
    <row r="944">
      <c r="B944" s="194"/>
      <c r="C944" s="194"/>
    </row>
    <row r="945">
      <c r="B945" s="194"/>
      <c r="C945" s="194"/>
    </row>
    <row r="946">
      <c r="B946" s="194"/>
      <c r="C946" s="194"/>
    </row>
    <row r="947">
      <c r="B947" s="194"/>
      <c r="C947" s="194"/>
    </row>
    <row r="948">
      <c r="B948" s="194"/>
      <c r="C948" s="194"/>
    </row>
    <row r="949">
      <c r="B949" s="194"/>
      <c r="C949" s="194"/>
    </row>
    <row r="950">
      <c r="B950" s="194"/>
      <c r="C950" s="194"/>
    </row>
    <row r="951">
      <c r="B951" s="194"/>
      <c r="C951" s="194"/>
    </row>
    <row r="952">
      <c r="B952" s="194"/>
      <c r="C952" s="194"/>
    </row>
    <row r="953">
      <c r="B953" s="194"/>
      <c r="C953" s="194"/>
    </row>
    <row r="954">
      <c r="B954" s="194"/>
      <c r="C954" s="194"/>
    </row>
    <row r="955">
      <c r="B955" s="194"/>
      <c r="C955" s="194"/>
    </row>
    <row r="956">
      <c r="B956" s="194"/>
      <c r="C956" s="194"/>
    </row>
    <row r="957">
      <c r="B957" s="194"/>
      <c r="C957" s="194"/>
    </row>
    <row r="958">
      <c r="B958" s="194"/>
      <c r="C958" s="194"/>
    </row>
    <row r="959">
      <c r="B959" s="194"/>
      <c r="C959" s="194"/>
    </row>
    <row r="960">
      <c r="B960" s="194"/>
      <c r="C960" s="194"/>
    </row>
    <row r="961">
      <c r="B961" s="194"/>
      <c r="C961" s="194"/>
    </row>
    <row r="962">
      <c r="B962" s="194"/>
      <c r="C962" s="194"/>
    </row>
    <row r="963">
      <c r="B963" s="194"/>
      <c r="C963" s="194"/>
    </row>
    <row r="964">
      <c r="B964" s="194"/>
      <c r="C964" s="194"/>
    </row>
    <row r="965">
      <c r="B965" s="194"/>
      <c r="C965" s="194"/>
    </row>
    <row r="966">
      <c r="B966" s="194"/>
      <c r="C966" s="194"/>
    </row>
    <row r="967">
      <c r="B967" s="194"/>
      <c r="C967" s="194"/>
    </row>
    <row r="968">
      <c r="B968" s="194"/>
      <c r="C968" s="194"/>
    </row>
    <row r="969">
      <c r="B969" s="194"/>
      <c r="C969" s="194"/>
    </row>
    <row r="970">
      <c r="B970" s="194"/>
      <c r="C970" s="194"/>
    </row>
    <row r="971">
      <c r="B971" s="194"/>
      <c r="C971" s="194"/>
    </row>
    <row r="972">
      <c r="B972" s="194"/>
      <c r="C972" s="194"/>
    </row>
    <row r="973">
      <c r="B973" s="194"/>
      <c r="C973" s="194"/>
    </row>
    <row r="974">
      <c r="B974" s="194"/>
      <c r="C974" s="194"/>
    </row>
    <row r="975">
      <c r="B975" s="194"/>
      <c r="C975" s="194"/>
    </row>
    <row r="976">
      <c r="B976" s="194"/>
      <c r="C976" s="194"/>
    </row>
    <row r="977">
      <c r="B977" s="194"/>
      <c r="C977" s="194"/>
    </row>
    <row r="978">
      <c r="B978" s="194"/>
      <c r="C978" s="194"/>
    </row>
    <row r="979">
      <c r="B979" s="194"/>
      <c r="C979" s="194"/>
    </row>
    <row r="980">
      <c r="B980" s="194"/>
      <c r="C980" s="194"/>
    </row>
    <row r="981">
      <c r="B981" s="194"/>
      <c r="C981" s="194"/>
    </row>
    <row r="982">
      <c r="B982" s="194"/>
      <c r="C982" s="194"/>
    </row>
    <row r="983">
      <c r="B983" s="194"/>
      <c r="C983" s="194"/>
    </row>
    <row r="984">
      <c r="B984" s="194"/>
      <c r="C984" s="194"/>
    </row>
    <row r="985">
      <c r="B985" s="194"/>
      <c r="C985" s="194"/>
    </row>
    <row r="986">
      <c r="B986" s="194"/>
      <c r="C986" s="194"/>
    </row>
    <row r="987">
      <c r="B987" s="194"/>
      <c r="C987" s="194"/>
    </row>
    <row r="988">
      <c r="B988" s="194"/>
      <c r="C988" s="194"/>
    </row>
    <row r="989">
      <c r="B989" s="194"/>
      <c r="C989" s="194"/>
    </row>
    <row r="990">
      <c r="B990" s="194"/>
      <c r="C990" s="194"/>
    </row>
    <row r="991">
      <c r="B991" s="194"/>
      <c r="C991" s="194"/>
    </row>
    <row r="992">
      <c r="B992" s="194"/>
      <c r="C992" s="194"/>
    </row>
    <row r="993">
      <c r="B993" s="194"/>
      <c r="C993" s="194"/>
    </row>
    <row r="994">
      <c r="B994" s="194"/>
      <c r="C994" s="194"/>
    </row>
    <row r="995">
      <c r="B995" s="194"/>
      <c r="C995" s="194"/>
    </row>
    <row r="996">
      <c r="B996" s="194"/>
      <c r="C996" s="194"/>
    </row>
    <row r="997">
      <c r="B997" s="194"/>
      <c r="C997" s="194"/>
    </row>
    <row r="998">
      <c r="B998" s="194"/>
      <c r="C998" s="194"/>
    </row>
    <row r="999">
      <c r="B999" s="194"/>
      <c r="C999" s="194"/>
    </row>
    <row r="1000">
      <c r="B1000" s="194"/>
      <c r="C1000" s="194"/>
    </row>
    <row r="1001">
      <c r="B1001" s="194"/>
      <c r="C1001" s="194"/>
    </row>
    <row r="1002">
      <c r="B1002" s="194"/>
      <c r="C1002" s="194"/>
    </row>
    <row r="1003">
      <c r="B1003" s="194"/>
      <c r="C1003" s="194"/>
    </row>
    <row r="1004">
      <c r="B1004" s="194"/>
      <c r="C1004" s="194"/>
    </row>
    <row r="1005">
      <c r="B1005" s="194"/>
      <c r="C1005" s="194"/>
    </row>
    <row r="1006">
      <c r="B1006" s="194"/>
      <c r="C1006" s="194"/>
    </row>
  </sheetData>
  <mergeCells count="15">
    <mergeCell ref="E1:H1"/>
    <mergeCell ref="E2:H2"/>
    <mergeCell ref="I2:L2"/>
    <mergeCell ref="M2:P2"/>
    <mergeCell ref="Q2:T2"/>
    <mergeCell ref="U2:Z2"/>
    <mergeCell ref="AA2:AF2"/>
    <mergeCell ref="AG2:AL2"/>
    <mergeCell ref="A1:B2"/>
    <mergeCell ref="I1:L1"/>
    <mergeCell ref="M1:P1"/>
    <mergeCell ref="Q1:T1"/>
    <mergeCell ref="U1:Z1"/>
    <mergeCell ref="AA1:AF1"/>
    <mergeCell ref="AG1:AL1"/>
  </mergeCells>
  <hyperlinks>
    <hyperlink r:id="rId1" ref="A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7.5"/>
    <col customWidth="1" min="3" max="3" width="19.13"/>
    <col customWidth="1" min="4" max="4" width="9.0"/>
    <col customWidth="1" min="18" max="18" width="14.75"/>
  </cols>
  <sheetData>
    <row r="1">
      <c r="A1" s="1" t="s">
        <v>91</v>
      </c>
      <c r="B1" s="82"/>
      <c r="C1" s="2"/>
      <c r="D1" s="3"/>
      <c r="E1" s="4">
        <v>45803.0</v>
      </c>
      <c r="F1" s="5"/>
      <c r="G1" s="5"/>
      <c r="H1" s="5"/>
      <c r="I1" s="6"/>
      <c r="J1" s="195"/>
      <c r="K1" s="4">
        <v>45897.0</v>
      </c>
      <c r="L1" s="5"/>
      <c r="M1" s="6"/>
      <c r="N1" s="4">
        <v>46019.0</v>
      </c>
      <c r="O1" s="5"/>
      <c r="P1" s="5"/>
      <c r="Q1" s="5"/>
      <c r="R1" s="6"/>
      <c r="S1" s="196">
        <v>46023.0</v>
      </c>
      <c r="T1" s="11"/>
      <c r="U1" s="11"/>
      <c r="V1" s="11"/>
      <c r="W1" s="12"/>
      <c r="X1" s="4"/>
      <c r="Y1" s="4"/>
      <c r="Z1" s="4"/>
      <c r="AA1" s="4"/>
      <c r="AB1" s="10"/>
      <c r="AC1" s="11"/>
      <c r="AD1" s="11"/>
      <c r="AE1" s="11"/>
      <c r="AF1" s="11"/>
      <c r="AG1" s="12"/>
      <c r="AH1" s="10"/>
      <c r="AI1" s="11"/>
      <c r="AJ1" s="11"/>
      <c r="AK1" s="11"/>
      <c r="AL1" s="11"/>
      <c r="AM1" s="12"/>
    </row>
    <row r="2">
      <c r="A2" s="84"/>
      <c r="B2" s="17"/>
      <c r="C2" s="14"/>
      <c r="D2" s="15"/>
      <c r="E2" s="16" t="s">
        <v>1</v>
      </c>
      <c r="F2" s="17"/>
      <c r="G2" s="17"/>
      <c r="H2" s="17"/>
      <c r="I2" s="18"/>
      <c r="J2" s="24"/>
      <c r="K2" s="16" t="s">
        <v>1</v>
      </c>
      <c r="L2" s="17"/>
      <c r="M2" s="18"/>
      <c r="N2" s="16" t="s">
        <v>1</v>
      </c>
      <c r="O2" s="17"/>
      <c r="P2" s="17"/>
      <c r="Q2" s="17"/>
      <c r="R2" s="17"/>
      <c r="S2" s="197" t="s">
        <v>1</v>
      </c>
      <c r="T2" s="11"/>
      <c r="U2" s="11"/>
      <c r="V2" s="11"/>
      <c r="W2" s="12"/>
      <c r="X2" s="16"/>
      <c r="Y2" s="16"/>
      <c r="Z2" s="16"/>
      <c r="AA2" s="16"/>
      <c r="AB2" s="20" t="s">
        <v>1</v>
      </c>
      <c r="AC2" s="21"/>
      <c r="AD2" s="21"/>
      <c r="AE2" s="21"/>
      <c r="AF2" s="21"/>
      <c r="AG2" s="22"/>
      <c r="AH2" s="20" t="s">
        <v>1</v>
      </c>
      <c r="AI2" s="21"/>
      <c r="AJ2" s="21"/>
      <c r="AK2" s="21"/>
      <c r="AL2" s="21"/>
      <c r="AM2" s="22"/>
    </row>
    <row r="3">
      <c r="A3" s="23" t="s">
        <v>2</v>
      </c>
      <c r="B3" s="173" t="s">
        <v>3</v>
      </c>
      <c r="C3" s="198" t="s">
        <v>4</v>
      </c>
      <c r="D3" s="198" t="s">
        <v>5</v>
      </c>
      <c r="E3" s="199" t="s">
        <v>6</v>
      </c>
      <c r="F3" s="199" t="s">
        <v>7</v>
      </c>
      <c r="G3" s="199" t="s">
        <v>8</v>
      </c>
      <c r="H3" s="199" t="s">
        <v>407</v>
      </c>
      <c r="I3" s="199" t="s">
        <v>408</v>
      </c>
      <c r="J3" s="199"/>
      <c r="K3" s="199" t="s">
        <v>145</v>
      </c>
      <c r="L3" s="199" t="s">
        <v>12</v>
      </c>
      <c r="M3" s="199" t="s">
        <v>146</v>
      </c>
      <c r="N3" s="199" t="s">
        <v>145</v>
      </c>
      <c r="O3" s="199" t="s">
        <v>12</v>
      </c>
      <c r="P3" s="199" t="s">
        <v>146</v>
      </c>
      <c r="Q3" s="199" t="s">
        <v>226</v>
      </c>
      <c r="R3" s="199" t="s">
        <v>409</v>
      </c>
      <c r="S3" s="199" t="s">
        <v>149</v>
      </c>
      <c r="T3" s="199" t="s">
        <v>150</v>
      </c>
      <c r="U3" s="199" t="s">
        <v>410</v>
      </c>
      <c r="V3" s="199" t="s">
        <v>148</v>
      </c>
      <c r="W3" s="199" t="s">
        <v>411</v>
      </c>
      <c r="X3" s="24" t="s">
        <v>20</v>
      </c>
      <c r="Y3" s="24" t="s">
        <v>21</v>
      </c>
      <c r="Z3" s="24" t="s">
        <v>22</v>
      </c>
      <c r="AA3" s="26" t="s">
        <v>23</v>
      </c>
      <c r="AB3" s="27" t="s">
        <v>24</v>
      </c>
      <c r="AC3" s="27" t="s">
        <v>25</v>
      </c>
      <c r="AD3" s="27" t="s">
        <v>26</v>
      </c>
      <c r="AE3" s="27" t="s">
        <v>27</v>
      </c>
      <c r="AF3" s="28" t="s">
        <v>28</v>
      </c>
      <c r="AG3" s="28" t="s">
        <v>29</v>
      </c>
      <c r="AH3" s="27" t="s">
        <v>24</v>
      </c>
      <c r="AI3" s="27" t="s">
        <v>25</v>
      </c>
      <c r="AJ3" s="27" t="s">
        <v>26</v>
      </c>
      <c r="AK3" s="27" t="s">
        <v>27</v>
      </c>
      <c r="AL3" s="28" t="s">
        <v>28</v>
      </c>
      <c r="AM3" s="28" t="s">
        <v>29</v>
      </c>
    </row>
    <row r="4">
      <c r="A4" s="46">
        <v>1.0</v>
      </c>
      <c r="B4" s="200" t="s">
        <v>412</v>
      </c>
      <c r="C4" s="201" t="s">
        <v>413</v>
      </c>
      <c r="D4" s="202">
        <v>90038.0</v>
      </c>
      <c r="E4" s="201">
        <v>16.0</v>
      </c>
      <c r="F4" s="201">
        <v>13.0</v>
      </c>
      <c r="G4" s="203">
        <v>12.0</v>
      </c>
      <c r="H4" s="201">
        <v>10.0</v>
      </c>
      <c r="I4" s="201">
        <v>12.0</v>
      </c>
      <c r="J4" s="201"/>
      <c r="K4" s="204">
        <v>4.0</v>
      </c>
      <c r="L4" s="204">
        <v>5.0</v>
      </c>
      <c r="M4" s="203">
        <v>12.0</v>
      </c>
      <c r="N4" s="203">
        <v>9.0</v>
      </c>
      <c r="O4" s="203">
        <v>8.0</v>
      </c>
      <c r="P4" s="39">
        <v>10.0</v>
      </c>
      <c r="Q4" s="203">
        <v>8.0</v>
      </c>
      <c r="R4" s="203">
        <v>8.0</v>
      </c>
      <c r="S4" s="203">
        <v>26.0</v>
      </c>
      <c r="T4" s="203">
        <v>24.0</v>
      </c>
      <c r="U4" s="203">
        <v>27.0</v>
      </c>
      <c r="V4" s="203">
        <v>20.0</v>
      </c>
      <c r="W4" s="203">
        <v>24.0</v>
      </c>
      <c r="X4" s="205"/>
      <c r="Y4" s="205"/>
      <c r="Z4" s="205"/>
      <c r="AA4" s="205"/>
      <c r="AB4" s="205"/>
      <c r="AC4" s="205"/>
      <c r="AD4" s="205"/>
      <c r="AE4" s="206"/>
      <c r="AF4" s="171"/>
      <c r="AG4" s="171"/>
      <c r="AH4" s="205"/>
      <c r="AI4" s="205"/>
      <c r="AJ4" s="30"/>
      <c r="AK4" s="32"/>
      <c r="AL4" s="33"/>
      <c r="AM4" s="33"/>
    </row>
    <row r="5">
      <c r="A5" s="39">
        <v>2.0</v>
      </c>
      <c r="B5" s="178" t="s">
        <v>414</v>
      </c>
      <c r="C5" s="48" t="s">
        <v>415</v>
      </c>
      <c r="D5" s="48">
        <v>900775.0</v>
      </c>
      <c r="E5" s="39">
        <v>11.0</v>
      </c>
      <c r="F5" s="39">
        <v>11.0</v>
      </c>
      <c r="G5" s="39">
        <v>13.0</v>
      </c>
      <c r="H5" s="39">
        <v>10.0</v>
      </c>
      <c r="I5" s="39">
        <v>8.0</v>
      </c>
      <c r="J5" s="39"/>
      <c r="K5" s="41">
        <v>4.0</v>
      </c>
      <c r="L5" s="41">
        <v>3.0</v>
      </c>
      <c r="M5" s="41">
        <v>6.0</v>
      </c>
      <c r="N5" s="41">
        <v>7.0</v>
      </c>
      <c r="O5" s="41">
        <v>5.0</v>
      </c>
      <c r="P5" s="41">
        <v>7.0</v>
      </c>
      <c r="Q5" s="41">
        <v>4.0</v>
      </c>
      <c r="R5" s="41">
        <v>3.0</v>
      </c>
      <c r="S5" s="41">
        <v>4.0</v>
      </c>
      <c r="T5" s="39">
        <v>22.0</v>
      </c>
      <c r="U5" s="41">
        <v>11.0</v>
      </c>
      <c r="V5" s="41">
        <v>8.0</v>
      </c>
      <c r="W5" s="41">
        <v>11.0</v>
      </c>
      <c r="X5" s="39"/>
      <c r="Y5" s="39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</row>
    <row r="6">
      <c r="A6" s="39">
        <v>3.0</v>
      </c>
      <c r="B6" s="178" t="s">
        <v>416</v>
      </c>
      <c r="C6" s="48" t="s">
        <v>417</v>
      </c>
      <c r="D6" s="48">
        <v>900882.0</v>
      </c>
      <c r="E6" s="39">
        <v>12.0</v>
      </c>
      <c r="F6" s="39">
        <v>13.0</v>
      </c>
      <c r="G6" s="39">
        <v>20.0</v>
      </c>
      <c r="H6" s="39">
        <v>11.0</v>
      </c>
      <c r="I6" s="39">
        <v>16.0</v>
      </c>
      <c r="J6" s="39"/>
      <c r="K6" s="41">
        <v>3.0</v>
      </c>
      <c r="L6" s="39">
        <v>8.0</v>
      </c>
      <c r="M6" s="39">
        <v>12.0</v>
      </c>
      <c r="N6" s="39">
        <v>8.0</v>
      </c>
      <c r="O6" s="39">
        <v>10.0</v>
      </c>
      <c r="P6" s="39">
        <v>9.0</v>
      </c>
      <c r="Q6" s="39">
        <v>9.0</v>
      </c>
      <c r="R6" s="39">
        <v>8.0</v>
      </c>
      <c r="S6" s="41">
        <v>12.0</v>
      </c>
      <c r="T6" s="39">
        <v>37.0</v>
      </c>
      <c r="U6" s="41">
        <v>10.0</v>
      </c>
      <c r="V6" s="39">
        <v>24.0</v>
      </c>
      <c r="W6" s="39">
        <v>24.0</v>
      </c>
      <c r="X6" s="39"/>
      <c r="Y6" s="39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</row>
    <row r="7">
      <c r="A7" s="39">
        <v>4.0</v>
      </c>
      <c r="B7" s="178" t="s">
        <v>418</v>
      </c>
      <c r="C7" s="48" t="s">
        <v>181</v>
      </c>
      <c r="D7" s="48">
        <v>900561.0</v>
      </c>
      <c r="E7" s="39">
        <v>14.0</v>
      </c>
      <c r="F7" s="39">
        <v>15.0</v>
      </c>
      <c r="G7" s="39">
        <v>13.0</v>
      </c>
      <c r="H7" s="39">
        <v>14.0</v>
      </c>
      <c r="I7" s="39">
        <v>15.0</v>
      </c>
      <c r="J7" s="39"/>
      <c r="K7" s="41">
        <v>3.0</v>
      </c>
      <c r="L7" s="41">
        <v>5.0</v>
      </c>
      <c r="M7" s="39">
        <v>8.0</v>
      </c>
      <c r="N7" s="39">
        <v>8.0</v>
      </c>
      <c r="O7" s="39">
        <v>8.0</v>
      </c>
      <c r="P7" s="39">
        <v>9.0</v>
      </c>
      <c r="Q7" s="39">
        <v>10.0</v>
      </c>
      <c r="R7" s="39">
        <v>9.0</v>
      </c>
      <c r="S7" s="39">
        <v>28.0</v>
      </c>
      <c r="T7" s="39">
        <v>39.0</v>
      </c>
      <c r="U7" s="39">
        <v>24.0</v>
      </c>
      <c r="V7" s="39">
        <v>20.0</v>
      </c>
      <c r="W7" s="39">
        <v>20.0</v>
      </c>
      <c r="X7" s="39"/>
      <c r="Y7" s="39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>
      <c r="A8" s="39">
        <v>5.0</v>
      </c>
      <c r="B8" s="178" t="s">
        <v>419</v>
      </c>
      <c r="C8" s="48" t="s">
        <v>420</v>
      </c>
      <c r="D8" s="48">
        <v>900910.0</v>
      </c>
      <c r="E8" s="39">
        <v>19.0</v>
      </c>
      <c r="F8" s="39">
        <v>18.0</v>
      </c>
      <c r="G8" s="39">
        <v>19.0</v>
      </c>
      <c r="H8" s="39">
        <v>14.0</v>
      </c>
      <c r="I8" s="39">
        <v>19.0</v>
      </c>
      <c r="J8" s="39"/>
      <c r="K8" s="39">
        <v>11.0</v>
      </c>
      <c r="L8" s="41">
        <v>3.0</v>
      </c>
      <c r="M8" s="39">
        <v>15.0</v>
      </c>
      <c r="N8" s="39">
        <v>10.0</v>
      </c>
      <c r="O8" s="39">
        <v>12.0</v>
      </c>
      <c r="P8" s="39">
        <v>13.0</v>
      </c>
      <c r="Q8" s="39">
        <v>11.0</v>
      </c>
      <c r="R8" s="40">
        <v>12.0</v>
      </c>
      <c r="S8" s="40">
        <v>30.0</v>
      </c>
      <c r="T8" s="39">
        <v>36.0</v>
      </c>
      <c r="U8" s="39">
        <v>38.0</v>
      </c>
      <c r="V8" s="39">
        <v>33.0</v>
      </c>
      <c r="W8" s="39">
        <v>34.0</v>
      </c>
      <c r="X8" s="39"/>
      <c r="Y8" s="39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>
      <c r="A9" s="39">
        <v>6.0</v>
      </c>
      <c r="B9" s="178" t="s">
        <v>421</v>
      </c>
      <c r="C9" s="48" t="s">
        <v>422</v>
      </c>
      <c r="D9" s="48">
        <v>900448.0</v>
      </c>
      <c r="E9" s="39">
        <v>10.0</v>
      </c>
      <c r="F9" s="39">
        <v>2.0</v>
      </c>
      <c r="G9" s="39">
        <v>13.0</v>
      </c>
      <c r="H9" s="39">
        <v>7.0</v>
      </c>
      <c r="I9" s="39">
        <v>10.0</v>
      </c>
      <c r="J9" s="39"/>
      <c r="K9" s="41" t="s">
        <v>32</v>
      </c>
      <c r="L9" s="41">
        <v>3.0</v>
      </c>
      <c r="M9" s="39">
        <v>14.0</v>
      </c>
      <c r="N9" s="41" t="s">
        <v>32</v>
      </c>
      <c r="O9" s="41" t="s">
        <v>32</v>
      </c>
      <c r="P9" s="41" t="s">
        <v>32</v>
      </c>
      <c r="Q9" s="41" t="s">
        <v>32</v>
      </c>
      <c r="R9" s="41" t="s">
        <v>32</v>
      </c>
      <c r="S9" s="41" t="s">
        <v>32</v>
      </c>
      <c r="T9" s="39">
        <v>20.0</v>
      </c>
      <c r="U9" s="39">
        <v>25.0</v>
      </c>
      <c r="V9" s="41" t="s">
        <v>32</v>
      </c>
      <c r="W9" s="41" t="s">
        <v>32</v>
      </c>
      <c r="X9" s="39"/>
      <c r="Y9" s="39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</row>
    <row r="10">
      <c r="A10" s="39">
        <v>7.0</v>
      </c>
      <c r="B10" s="178" t="s">
        <v>384</v>
      </c>
      <c r="C10" s="48" t="s">
        <v>181</v>
      </c>
      <c r="D10" s="48">
        <v>900562.0</v>
      </c>
      <c r="E10" s="39">
        <v>14.0</v>
      </c>
      <c r="F10" s="39">
        <v>15.0</v>
      </c>
      <c r="G10" s="39">
        <v>13.0</v>
      </c>
      <c r="H10" s="39">
        <v>10.0</v>
      </c>
      <c r="I10" s="39">
        <v>15.0</v>
      </c>
      <c r="J10" s="39"/>
      <c r="K10" s="41">
        <v>2.0</v>
      </c>
      <c r="L10" s="41">
        <v>6.0</v>
      </c>
      <c r="M10" s="39">
        <v>14.0</v>
      </c>
      <c r="N10" s="39">
        <v>8.0</v>
      </c>
      <c r="O10" s="39">
        <v>11.0</v>
      </c>
      <c r="P10" s="39">
        <v>10.0</v>
      </c>
      <c r="Q10" s="39">
        <v>8.0</v>
      </c>
      <c r="R10" s="39">
        <v>9.0</v>
      </c>
      <c r="S10" s="39">
        <v>20.0</v>
      </c>
      <c r="T10" s="39">
        <v>32.0</v>
      </c>
      <c r="U10" s="39">
        <v>32.0</v>
      </c>
      <c r="V10" s="39">
        <v>21.0</v>
      </c>
      <c r="W10" s="39">
        <v>21.0</v>
      </c>
      <c r="X10" s="39"/>
      <c r="Y10" s="39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</row>
    <row r="11">
      <c r="A11" s="39">
        <v>8.0</v>
      </c>
      <c r="B11" s="178" t="s">
        <v>423</v>
      </c>
      <c r="C11" s="48" t="s">
        <v>424</v>
      </c>
      <c r="D11" s="48">
        <v>900488.0</v>
      </c>
      <c r="E11" s="41">
        <v>17.0</v>
      </c>
      <c r="F11" s="41">
        <v>20.0</v>
      </c>
      <c r="G11" s="41">
        <v>19.0</v>
      </c>
      <c r="H11" s="39">
        <v>18.0</v>
      </c>
      <c r="I11" s="39">
        <v>18.0</v>
      </c>
      <c r="J11" s="39"/>
      <c r="K11" s="39">
        <v>11.0</v>
      </c>
      <c r="L11" s="39">
        <v>9.0</v>
      </c>
      <c r="M11" s="39">
        <v>13.0</v>
      </c>
      <c r="N11" s="39">
        <v>11.0</v>
      </c>
      <c r="O11" s="39">
        <v>13.0</v>
      </c>
      <c r="P11" s="39">
        <v>10.0</v>
      </c>
      <c r="Q11" s="39">
        <v>10.0</v>
      </c>
      <c r="R11" s="39">
        <v>11.0</v>
      </c>
      <c r="S11" s="39">
        <v>37.0</v>
      </c>
      <c r="T11" s="39">
        <v>34.0</v>
      </c>
      <c r="U11" s="39">
        <v>33.0</v>
      </c>
      <c r="V11" s="39">
        <v>25.0</v>
      </c>
      <c r="W11" s="39">
        <v>30.0</v>
      </c>
      <c r="X11" s="39"/>
      <c r="Y11" s="39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</row>
    <row r="12">
      <c r="A12" s="39">
        <v>9.0</v>
      </c>
      <c r="B12" s="178" t="s">
        <v>425</v>
      </c>
      <c r="C12" s="48" t="s">
        <v>426</v>
      </c>
      <c r="D12" s="48">
        <v>900731.0</v>
      </c>
      <c r="E12" s="41">
        <v>10.0</v>
      </c>
      <c r="F12" s="41">
        <v>7.0</v>
      </c>
      <c r="G12" s="41">
        <v>14.0</v>
      </c>
      <c r="H12" s="39">
        <v>10.0</v>
      </c>
      <c r="I12" s="39">
        <v>10.0</v>
      </c>
      <c r="J12" s="39"/>
      <c r="K12" s="41" t="s">
        <v>32</v>
      </c>
      <c r="L12" s="41">
        <v>4.0</v>
      </c>
      <c r="M12" s="41">
        <v>6.0</v>
      </c>
      <c r="N12" s="41" t="s">
        <v>32</v>
      </c>
      <c r="O12" s="41" t="s">
        <v>32</v>
      </c>
      <c r="P12" s="41" t="s">
        <v>32</v>
      </c>
      <c r="Q12" s="41" t="s">
        <v>32</v>
      </c>
      <c r="R12" s="41" t="s">
        <v>32</v>
      </c>
      <c r="S12" s="41" t="s">
        <v>32</v>
      </c>
      <c r="T12" s="41">
        <v>18.0</v>
      </c>
      <c r="U12" s="41" t="s">
        <v>32</v>
      </c>
      <c r="V12" s="41">
        <v>7.0</v>
      </c>
      <c r="W12" s="41" t="s">
        <v>32</v>
      </c>
      <c r="X12" s="39"/>
      <c r="Y12" s="39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</row>
    <row r="13">
      <c r="A13" s="39">
        <v>10.0</v>
      </c>
      <c r="B13" s="178" t="s">
        <v>427</v>
      </c>
      <c r="C13" s="48" t="s">
        <v>428</v>
      </c>
      <c r="D13" s="48">
        <v>900114.0</v>
      </c>
      <c r="E13" s="39">
        <v>19.0</v>
      </c>
      <c r="F13" s="39">
        <v>19.0</v>
      </c>
      <c r="G13" s="39">
        <v>18.0</v>
      </c>
      <c r="H13" s="39">
        <v>17.0</v>
      </c>
      <c r="I13" s="39">
        <v>18.0</v>
      </c>
      <c r="J13" s="39"/>
      <c r="K13" s="41" t="s">
        <v>32</v>
      </c>
      <c r="L13" s="39">
        <v>12.0</v>
      </c>
      <c r="M13" s="39">
        <v>14.0</v>
      </c>
      <c r="N13" s="41" t="s">
        <v>32</v>
      </c>
      <c r="O13" s="41" t="s">
        <v>32</v>
      </c>
      <c r="P13" s="41" t="s">
        <v>32</v>
      </c>
      <c r="Q13" s="41" t="s">
        <v>32</v>
      </c>
      <c r="R13" s="41" t="s">
        <v>32</v>
      </c>
      <c r="S13" s="41" t="s">
        <v>32</v>
      </c>
      <c r="T13" s="41" t="s">
        <v>32</v>
      </c>
      <c r="U13" s="41" t="s">
        <v>32</v>
      </c>
      <c r="V13" s="41" t="s">
        <v>32</v>
      </c>
      <c r="W13" s="41" t="s">
        <v>32</v>
      </c>
      <c r="X13" s="39"/>
      <c r="Y13" s="39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</row>
    <row r="14">
      <c r="A14" s="39">
        <v>11.0</v>
      </c>
      <c r="B14" s="207" t="s">
        <v>429</v>
      </c>
      <c r="C14" s="39" t="s">
        <v>430</v>
      </c>
      <c r="D14" s="39">
        <v>901017.0</v>
      </c>
      <c r="E14" s="39">
        <v>19.0</v>
      </c>
      <c r="F14" s="39">
        <v>19.0</v>
      </c>
      <c r="G14" s="39">
        <v>18.0</v>
      </c>
      <c r="H14" s="39">
        <v>18.0</v>
      </c>
      <c r="I14" s="39">
        <v>17.0</v>
      </c>
      <c r="J14" s="39"/>
      <c r="K14" s="39">
        <v>11.0</v>
      </c>
      <c r="L14" s="39">
        <v>13.0</v>
      </c>
      <c r="M14" s="39">
        <v>14.0</v>
      </c>
      <c r="N14" s="39">
        <v>13.0</v>
      </c>
      <c r="O14" s="39">
        <v>13.0</v>
      </c>
      <c r="P14" s="39">
        <v>15.0</v>
      </c>
      <c r="Q14" s="39">
        <v>12.0</v>
      </c>
      <c r="R14" s="39">
        <v>13.0</v>
      </c>
      <c r="S14" s="39">
        <v>35.0</v>
      </c>
      <c r="T14" s="39">
        <v>30.0</v>
      </c>
      <c r="U14" s="40">
        <v>30.0</v>
      </c>
      <c r="V14" s="39">
        <v>30.0</v>
      </c>
      <c r="W14" s="39">
        <v>34.0</v>
      </c>
      <c r="X14" s="39"/>
      <c r="Y14" s="39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</row>
    <row r="15">
      <c r="A15" s="39">
        <v>12.0</v>
      </c>
      <c r="B15" s="178" t="s">
        <v>431</v>
      </c>
      <c r="C15" s="48" t="s">
        <v>432</v>
      </c>
      <c r="D15" s="48">
        <v>901141.0</v>
      </c>
      <c r="E15" s="39">
        <v>12.0</v>
      </c>
      <c r="F15" s="39">
        <v>14.0</v>
      </c>
      <c r="G15" s="39">
        <v>13.0</v>
      </c>
      <c r="H15" s="39">
        <v>5.0</v>
      </c>
      <c r="I15" s="39">
        <v>10.0</v>
      </c>
      <c r="J15" s="39"/>
      <c r="K15" s="41">
        <v>6.0</v>
      </c>
      <c r="L15" s="39">
        <v>10.0</v>
      </c>
      <c r="M15" s="41">
        <v>6.0</v>
      </c>
      <c r="N15" s="41" t="s">
        <v>32</v>
      </c>
      <c r="O15" s="41" t="s">
        <v>32</v>
      </c>
      <c r="P15" s="41" t="s">
        <v>32</v>
      </c>
      <c r="Q15" s="41" t="s">
        <v>32</v>
      </c>
      <c r="R15" s="41" t="s">
        <v>32</v>
      </c>
      <c r="S15" s="39">
        <v>25.0</v>
      </c>
      <c r="T15" s="41">
        <v>15.0</v>
      </c>
      <c r="U15" s="39">
        <v>31.0</v>
      </c>
      <c r="V15" s="39">
        <v>20.0</v>
      </c>
      <c r="W15" s="39">
        <v>20.0</v>
      </c>
      <c r="X15" s="39"/>
      <c r="Y15" s="39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</row>
    <row r="16">
      <c r="A16" s="39">
        <v>13.0</v>
      </c>
      <c r="B16" s="178" t="s">
        <v>433</v>
      </c>
      <c r="C16" s="48" t="s">
        <v>434</v>
      </c>
      <c r="D16" s="48">
        <v>900496.0</v>
      </c>
      <c r="E16" s="39">
        <v>10.0</v>
      </c>
      <c r="F16" s="39">
        <v>2.0</v>
      </c>
      <c r="G16" s="39">
        <v>14.0</v>
      </c>
      <c r="H16" s="39">
        <v>4.0</v>
      </c>
      <c r="I16" s="39" t="s">
        <v>32</v>
      </c>
      <c r="J16" s="39"/>
      <c r="K16" s="41">
        <v>1.0</v>
      </c>
      <c r="L16" s="41">
        <v>2.0</v>
      </c>
      <c r="M16" s="39">
        <v>10.0</v>
      </c>
      <c r="N16" s="39">
        <v>9.0</v>
      </c>
      <c r="O16" s="39">
        <v>8.0</v>
      </c>
      <c r="P16" s="39">
        <v>10.0</v>
      </c>
      <c r="Q16" s="208">
        <v>10.0</v>
      </c>
      <c r="R16" s="41">
        <v>7.0</v>
      </c>
      <c r="S16" s="41">
        <v>1.0</v>
      </c>
      <c r="T16" s="39">
        <v>24.0</v>
      </c>
      <c r="U16" s="41">
        <v>10.0</v>
      </c>
      <c r="V16" s="41">
        <v>5.0</v>
      </c>
      <c r="W16" s="41">
        <v>15.0</v>
      </c>
      <c r="X16" s="39"/>
      <c r="Y16" s="39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</row>
    <row r="17">
      <c r="A17" s="39">
        <v>14.0</v>
      </c>
      <c r="B17" s="178" t="s">
        <v>435</v>
      </c>
      <c r="C17" s="48" t="s">
        <v>436</v>
      </c>
      <c r="D17" s="48">
        <v>900117.0</v>
      </c>
      <c r="E17" s="39">
        <v>11.0</v>
      </c>
      <c r="F17" s="39">
        <v>10.0</v>
      </c>
      <c r="G17" s="39">
        <v>11.0</v>
      </c>
      <c r="H17" s="39">
        <v>4.0</v>
      </c>
      <c r="I17" s="39">
        <v>14.0</v>
      </c>
      <c r="J17" s="39"/>
      <c r="K17" s="41">
        <v>2.0</v>
      </c>
      <c r="L17" s="41">
        <v>5.0</v>
      </c>
      <c r="M17" s="41">
        <v>3.0</v>
      </c>
      <c r="N17" s="41" t="s">
        <v>32</v>
      </c>
      <c r="O17" s="41" t="s">
        <v>32</v>
      </c>
      <c r="P17" s="41" t="s">
        <v>32</v>
      </c>
      <c r="Q17" s="41" t="s">
        <v>32</v>
      </c>
      <c r="R17" s="41" t="s">
        <v>32</v>
      </c>
      <c r="S17" s="41">
        <v>7.0</v>
      </c>
      <c r="T17" s="39">
        <v>27.0</v>
      </c>
      <c r="U17" s="39">
        <v>20.0</v>
      </c>
      <c r="V17" s="39">
        <v>22.0</v>
      </c>
      <c r="W17" s="41">
        <v>14.0</v>
      </c>
      <c r="X17" s="39"/>
      <c r="Y17" s="39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</row>
    <row r="18">
      <c r="A18" s="39">
        <v>15.0</v>
      </c>
      <c r="B18" s="178" t="s">
        <v>437</v>
      </c>
      <c r="C18" s="48" t="s">
        <v>438</v>
      </c>
      <c r="D18" s="48">
        <v>900654.0</v>
      </c>
      <c r="E18" s="39">
        <v>11.0</v>
      </c>
      <c r="F18" s="39">
        <v>13.0</v>
      </c>
      <c r="G18" s="39">
        <v>11.0</v>
      </c>
      <c r="H18" s="39">
        <v>4.0</v>
      </c>
      <c r="I18" s="39">
        <v>10.0</v>
      </c>
      <c r="J18" s="39"/>
      <c r="K18" s="39">
        <v>10.0</v>
      </c>
      <c r="L18" s="39">
        <v>9.0</v>
      </c>
      <c r="M18" s="41" t="s">
        <v>32</v>
      </c>
      <c r="N18" s="39">
        <v>10.0</v>
      </c>
      <c r="O18" s="39">
        <v>12.0</v>
      </c>
      <c r="P18" s="41">
        <v>7.0</v>
      </c>
      <c r="Q18" s="39">
        <v>8.0</v>
      </c>
      <c r="R18" s="39">
        <v>9.0</v>
      </c>
      <c r="S18" s="41" t="s">
        <v>32</v>
      </c>
      <c r="T18" s="39">
        <v>25.0</v>
      </c>
      <c r="U18" s="39">
        <v>25.0</v>
      </c>
      <c r="V18" s="39">
        <v>25.0</v>
      </c>
      <c r="W18" s="39">
        <v>28.0</v>
      </c>
      <c r="X18" s="39"/>
      <c r="Y18" s="39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</row>
    <row r="19">
      <c r="A19" s="39">
        <v>16.0</v>
      </c>
      <c r="B19" s="178" t="s">
        <v>439</v>
      </c>
      <c r="C19" s="48" t="s">
        <v>440</v>
      </c>
      <c r="D19" s="48">
        <v>900287.0</v>
      </c>
      <c r="E19" s="39">
        <v>20.0</v>
      </c>
      <c r="F19" s="39">
        <v>19.0</v>
      </c>
      <c r="G19" s="39">
        <v>20.0</v>
      </c>
      <c r="H19" s="39">
        <v>19.0</v>
      </c>
      <c r="I19" s="39">
        <v>19.0</v>
      </c>
      <c r="J19" s="39"/>
      <c r="K19" s="41" t="s">
        <v>32</v>
      </c>
      <c r="L19" s="39">
        <v>13.0</v>
      </c>
      <c r="M19" s="39">
        <v>14.0</v>
      </c>
      <c r="N19" s="39">
        <v>11.0</v>
      </c>
      <c r="O19" s="39">
        <v>15.0</v>
      </c>
      <c r="P19" s="39">
        <v>8.0</v>
      </c>
      <c r="Q19" s="39">
        <v>11.0</v>
      </c>
      <c r="R19" s="39">
        <v>15.0</v>
      </c>
      <c r="S19" s="39">
        <v>36.0</v>
      </c>
      <c r="T19" s="39">
        <v>36.0</v>
      </c>
      <c r="U19" s="39">
        <v>39.0</v>
      </c>
      <c r="V19" s="39">
        <v>36.0</v>
      </c>
      <c r="W19" s="39">
        <v>33.0</v>
      </c>
      <c r="X19" s="39"/>
      <c r="Y19" s="39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</row>
    <row r="20">
      <c r="A20" s="39">
        <v>17.0</v>
      </c>
      <c r="B20" s="48" t="s">
        <v>441</v>
      </c>
      <c r="C20" s="48" t="s">
        <v>442</v>
      </c>
      <c r="D20" s="48">
        <v>900993.0</v>
      </c>
      <c r="E20" s="39">
        <v>16.0</v>
      </c>
      <c r="F20" s="39">
        <v>17.0</v>
      </c>
      <c r="G20" s="39">
        <v>16.0</v>
      </c>
      <c r="H20" s="39">
        <v>19.0</v>
      </c>
      <c r="I20" s="39">
        <v>17.0</v>
      </c>
      <c r="J20" s="41" t="s">
        <v>32</v>
      </c>
      <c r="K20" s="41" t="s">
        <v>32</v>
      </c>
      <c r="L20" s="41" t="s">
        <v>32</v>
      </c>
      <c r="M20" s="39"/>
      <c r="N20" s="41" t="s">
        <v>32</v>
      </c>
      <c r="O20" s="41" t="s">
        <v>32</v>
      </c>
      <c r="P20" s="41" t="s">
        <v>32</v>
      </c>
      <c r="Q20" s="41" t="s">
        <v>32</v>
      </c>
      <c r="R20" s="41" t="s">
        <v>32</v>
      </c>
      <c r="S20" s="39">
        <v>37.0</v>
      </c>
      <c r="T20" s="39">
        <v>37.0</v>
      </c>
      <c r="U20" s="39">
        <v>33.0</v>
      </c>
      <c r="V20" s="39">
        <v>25.0</v>
      </c>
      <c r="W20" s="39">
        <v>27.0</v>
      </c>
      <c r="X20" s="39"/>
      <c r="Y20" s="39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</row>
    <row r="21">
      <c r="A21" s="39">
        <v>18.0</v>
      </c>
      <c r="B21" s="48" t="s">
        <v>443</v>
      </c>
      <c r="C21" s="48" t="s">
        <v>444</v>
      </c>
      <c r="D21" s="48">
        <v>900118.0</v>
      </c>
      <c r="E21" s="39">
        <v>20.0</v>
      </c>
      <c r="F21" s="39">
        <v>19.0</v>
      </c>
      <c r="G21" s="39">
        <v>20.0</v>
      </c>
      <c r="H21" s="39">
        <v>19.0</v>
      </c>
      <c r="I21" s="39">
        <v>19.0</v>
      </c>
      <c r="J21" s="39">
        <v>9.0</v>
      </c>
      <c r="K21" s="41" t="s">
        <v>32</v>
      </c>
      <c r="L21" s="41" t="s">
        <v>32</v>
      </c>
      <c r="M21" s="34">
        <f>SUM(M4:M19)</f>
        <v>161</v>
      </c>
      <c r="N21" s="39">
        <v>14.0</v>
      </c>
      <c r="O21" s="39">
        <v>15.0</v>
      </c>
      <c r="P21" s="39">
        <v>10.0</v>
      </c>
      <c r="Q21" s="39">
        <v>14.0</v>
      </c>
      <c r="R21" s="40">
        <v>13.0</v>
      </c>
      <c r="S21" s="40">
        <v>35.0</v>
      </c>
      <c r="T21" s="40">
        <v>38.0</v>
      </c>
      <c r="U21" s="40">
        <v>38.0</v>
      </c>
      <c r="V21" s="40">
        <v>29.0</v>
      </c>
      <c r="W21" s="40">
        <v>34.0</v>
      </c>
      <c r="X21" s="41"/>
      <c r="Y21" s="110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</row>
    <row r="22">
      <c r="A22" s="39">
        <v>19.0</v>
      </c>
      <c r="B22" s="48" t="s">
        <v>445</v>
      </c>
      <c r="C22" s="48" t="s">
        <v>446</v>
      </c>
      <c r="D22" s="48">
        <v>900493.0</v>
      </c>
      <c r="E22" s="39">
        <v>17.0</v>
      </c>
      <c r="F22" s="39">
        <v>17.0</v>
      </c>
      <c r="G22" s="39">
        <v>17.0</v>
      </c>
      <c r="H22" s="39">
        <v>16.0</v>
      </c>
      <c r="I22" s="39">
        <v>18.0</v>
      </c>
      <c r="J22" s="41">
        <v>5.0</v>
      </c>
      <c r="K22" s="39">
        <v>7.0</v>
      </c>
      <c r="L22" s="41">
        <v>1.0</v>
      </c>
      <c r="M22" s="209">
        <f>M21/M26</f>
        <v>10.73333333</v>
      </c>
      <c r="N22" s="41">
        <v>7.0</v>
      </c>
      <c r="O22" s="39">
        <v>9.0</v>
      </c>
      <c r="P22" s="39">
        <v>8.0</v>
      </c>
      <c r="Q22" s="39">
        <v>8.0</v>
      </c>
      <c r="R22" s="39">
        <v>10.0</v>
      </c>
      <c r="S22" s="39">
        <v>26.0</v>
      </c>
      <c r="T22" s="39">
        <v>23.0</v>
      </c>
      <c r="U22" s="39">
        <v>33.0</v>
      </c>
      <c r="V22" s="39">
        <v>20.0</v>
      </c>
      <c r="W22" s="39">
        <v>20.0</v>
      </c>
      <c r="X22" s="39"/>
      <c r="Y22" s="39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</row>
    <row r="23">
      <c r="A23" s="39">
        <v>20.0</v>
      </c>
      <c r="B23" s="48" t="s">
        <v>447</v>
      </c>
      <c r="C23" s="48" t="s">
        <v>448</v>
      </c>
      <c r="D23" s="48">
        <v>900868.0</v>
      </c>
      <c r="E23" s="39">
        <v>14.0</v>
      </c>
      <c r="F23" s="39">
        <v>17.0</v>
      </c>
      <c r="G23" s="39">
        <v>14.0</v>
      </c>
      <c r="H23" s="39">
        <v>18.0</v>
      </c>
      <c r="I23" s="39">
        <v>17.0</v>
      </c>
      <c r="J23" s="39">
        <v>7.0</v>
      </c>
      <c r="K23" s="39">
        <v>7.0</v>
      </c>
      <c r="L23" s="39">
        <v>7.0</v>
      </c>
      <c r="M23" s="34">
        <v>19.0</v>
      </c>
      <c r="N23" s="41">
        <v>7.0</v>
      </c>
      <c r="O23" s="39">
        <v>8.0</v>
      </c>
      <c r="P23" s="41">
        <v>6.0</v>
      </c>
      <c r="Q23" s="39">
        <v>9.0</v>
      </c>
      <c r="R23" s="39">
        <v>10.0</v>
      </c>
      <c r="S23" s="39">
        <v>21.0</v>
      </c>
      <c r="T23" s="39">
        <v>25.0</v>
      </c>
      <c r="U23" s="39">
        <v>31.0</v>
      </c>
      <c r="V23" s="39">
        <v>23.0</v>
      </c>
      <c r="W23" s="39">
        <v>24.0</v>
      </c>
      <c r="X23" s="39"/>
      <c r="Y23" s="39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</row>
    <row r="24">
      <c r="A24" s="39">
        <v>21.0</v>
      </c>
      <c r="B24" s="48" t="s">
        <v>449</v>
      </c>
      <c r="C24" s="48" t="s">
        <v>450</v>
      </c>
      <c r="D24" s="48">
        <v>900286.0</v>
      </c>
      <c r="E24" s="39">
        <v>10.0</v>
      </c>
      <c r="F24" s="39">
        <v>11.0</v>
      </c>
      <c r="G24" s="39">
        <v>10.0</v>
      </c>
      <c r="H24" s="39" t="s">
        <v>32</v>
      </c>
      <c r="I24" s="39">
        <v>10.0</v>
      </c>
      <c r="J24" s="41" t="s">
        <v>32</v>
      </c>
      <c r="K24" s="39">
        <v>9.0</v>
      </c>
      <c r="L24" s="39">
        <v>10.0</v>
      </c>
      <c r="M24" s="34">
        <v>11.0</v>
      </c>
      <c r="N24" s="39">
        <v>8.0</v>
      </c>
      <c r="O24" s="41">
        <v>6.0</v>
      </c>
      <c r="P24" s="39">
        <v>9.0</v>
      </c>
      <c r="Q24" s="41">
        <v>7.0</v>
      </c>
      <c r="R24" s="39">
        <v>8.0</v>
      </c>
      <c r="S24" s="41">
        <v>0.0</v>
      </c>
      <c r="T24" s="41">
        <v>15.0</v>
      </c>
      <c r="U24" s="41">
        <v>13.0</v>
      </c>
      <c r="V24" s="41">
        <v>15.0</v>
      </c>
      <c r="W24" s="41">
        <v>5.0</v>
      </c>
      <c r="X24" s="39"/>
      <c r="Y24" s="39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</row>
    <row r="25">
      <c r="A25" s="39">
        <v>22.0</v>
      </c>
      <c r="B25" s="48" t="s">
        <v>451</v>
      </c>
      <c r="C25" s="48" t="s">
        <v>450</v>
      </c>
      <c r="D25" s="48">
        <v>900285.0</v>
      </c>
      <c r="E25" s="41">
        <v>14.0</v>
      </c>
      <c r="F25" s="41">
        <v>15.0</v>
      </c>
      <c r="G25" s="41">
        <v>14.0</v>
      </c>
      <c r="H25" s="39" t="s">
        <v>32</v>
      </c>
      <c r="I25" s="39">
        <v>16.0</v>
      </c>
      <c r="J25" s="39">
        <v>8.0</v>
      </c>
      <c r="K25" s="39">
        <v>7.0</v>
      </c>
      <c r="L25" s="39">
        <v>11.0</v>
      </c>
      <c r="M25" s="34">
        <v>4.0</v>
      </c>
      <c r="N25" s="39">
        <v>9.0</v>
      </c>
      <c r="O25" s="39">
        <v>8.0</v>
      </c>
      <c r="P25" s="39">
        <v>8.0</v>
      </c>
      <c r="Q25" s="39">
        <v>8.0</v>
      </c>
      <c r="R25" s="39">
        <v>9.0</v>
      </c>
      <c r="S25" s="39">
        <v>24.0</v>
      </c>
      <c r="T25" s="39">
        <v>29.0</v>
      </c>
      <c r="U25" s="39">
        <v>31.0</v>
      </c>
      <c r="V25" s="39">
        <v>21.0</v>
      </c>
      <c r="W25" s="39">
        <v>22.0</v>
      </c>
      <c r="X25" s="39"/>
      <c r="Y25" s="39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</row>
    <row r="26">
      <c r="A26" s="39">
        <v>23.0</v>
      </c>
      <c r="B26" s="48" t="s">
        <v>452</v>
      </c>
      <c r="C26" s="48" t="s">
        <v>453</v>
      </c>
      <c r="D26" s="48">
        <v>900451.0</v>
      </c>
      <c r="E26" s="41">
        <v>14.0</v>
      </c>
      <c r="F26" s="41">
        <v>7.0</v>
      </c>
      <c r="G26" s="41">
        <v>5.0</v>
      </c>
      <c r="H26" s="39" t="s">
        <v>32</v>
      </c>
      <c r="I26" s="39">
        <v>12.0</v>
      </c>
      <c r="J26" s="41" t="s">
        <v>32</v>
      </c>
      <c r="K26" s="41">
        <v>3.0</v>
      </c>
      <c r="L26" s="41">
        <v>3.0</v>
      </c>
      <c r="M26" s="34">
        <v>15.0</v>
      </c>
      <c r="N26" s="41" t="s">
        <v>32</v>
      </c>
      <c r="O26" s="41" t="s">
        <v>32</v>
      </c>
      <c r="P26" s="41" t="s">
        <v>32</v>
      </c>
      <c r="Q26" s="41" t="s">
        <v>32</v>
      </c>
      <c r="R26" s="41" t="s">
        <v>32</v>
      </c>
      <c r="S26" s="41">
        <v>2.0</v>
      </c>
      <c r="T26" s="41">
        <v>14.0</v>
      </c>
      <c r="U26" s="41">
        <v>13.0</v>
      </c>
      <c r="V26" s="41">
        <v>11.0</v>
      </c>
      <c r="W26" s="41">
        <v>10.0</v>
      </c>
      <c r="X26" s="39"/>
      <c r="Y26" s="39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</row>
    <row r="27">
      <c r="A27" s="39">
        <v>24.0</v>
      </c>
      <c r="B27" s="48" t="s">
        <v>454</v>
      </c>
      <c r="C27" s="48" t="s">
        <v>455</v>
      </c>
      <c r="D27" s="48">
        <v>900409.0</v>
      </c>
      <c r="E27" s="41">
        <v>5.0</v>
      </c>
      <c r="F27" s="41">
        <v>4.0</v>
      </c>
      <c r="G27" s="41">
        <v>7.0</v>
      </c>
      <c r="H27" s="39" t="s">
        <v>32</v>
      </c>
      <c r="I27" s="39">
        <v>4.0</v>
      </c>
      <c r="J27" s="41" t="s">
        <v>32</v>
      </c>
      <c r="K27" s="41" t="s">
        <v>32</v>
      </c>
      <c r="L27" s="41" t="s">
        <v>32</v>
      </c>
      <c r="M27" s="39"/>
      <c r="N27" s="41">
        <v>2.0</v>
      </c>
      <c r="O27" s="41">
        <v>4.0</v>
      </c>
      <c r="P27" s="41">
        <v>3.0</v>
      </c>
      <c r="Q27" s="41">
        <v>2.0</v>
      </c>
      <c r="R27" s="41">
        <v>1.0</v>
      </c>
      <c r="S27" s="41" t="s">
        <v>32</v>
      </c>
      <c r="T27" s="41" t="s">
        <v>32</v>
      </c>
      <c r="U27" s="41" t="s">
        <v>32</v>
      </c>
      <c r="V27" s="39">
        <v>21.0</v>
      </c>
      <c r="W27" s="41" t="s">
        <v>32</v>
      </c>
      <c r="X27" s="39"/>
      <c r="Y27" s="39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</row>
    <row r="28">
      <c r="A28" s="39">
        <v>25.0</v>
      </c>
      <c r="B28" s="48" t="s">
        <v>456</v>
      </c>
      <c r="C28" s="48" t="s">
        <v>457</v>
      </c>
      <c r="D28" s="48">
        <v>900574.0</v>
      </c>
      <c r="E28" s="41">
        <v>10.0</v>
      </c>
      <c r="F28" s="41">
        <v>14.0</v>
      </c>
      <c r="G28" s="41">
        <v>13.0</v>
      </c>
      <c r="H28" s="39">
        <v>17.0</v>
      </c>
      <c r="I28" s="39">
        <v>13.0</v>
      </c>
      <c r="J28" s="41" t="s">
        <v>32</v>
      </c>
      <c r="K28" s="41" t="s">
        <v>32</v>
      </c>
      <c r="L28" s="41" t="s">
        <v>32</v>
      </c>
      <c r="M28" s="80"/>
      <c r="N28" s="41">
        <v>4.0</v>
      </c>
      <c r="O28" s="39">
        <v>8.0</v>
      </c>
      <c r="P28" s="39">
        <v>9.0</v>
      </c>
      <c r="Q28" s="41">
        <v>5.0</v>
      </c>
      <c r="R28" s="41">
        <v>7.0</v>
      </c>
      <c r="S28" s="39">
        <v>20.0</v>
      </c>
      <c r="T28" s="39">
        <v>22.0</v>
      </c>
      <c r="U28" s="39">
        <v>20.0</v>
      </c>
      <c r="V28" s="41" t="s">
        <v>49</v>
      </c>
      <c r="W28" s="39">
        <v>21.0</v>
      </c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</row>
    <row r="29">
      <c r="A29" s="39">
        <v>26.0</v>
      </c>
      <c r="B29" s="48" t="s">
        <v>458</v>
      </c>
      <c r="C29" s="48" t="s">
        <v>459</v>
      </c>
      <c r="D29" s="48">
        <v>900735.0</v>
      </c>
      <c r="E29" s="39">
        <v>16.0</v>
      </c>
      <c r="F29" s="39">
        <v>19.0</v>
      </c>
      <c r="G29" s="39">
        <v>16.0</v>
      </c>
      <c r="H29" s="39">
        <v>19.0</v>
      </c>
      <c r="I29" s="39">
        <v>18.0</v>
      </c>
      <c r="J29" s="39">
        <v>11.0</v>
      </c>
      <c r="K29" s="39">
        <v>12.0</v>
      </c>
      <c r="L29" s="39">
        <v>14.0</v>
      </c>
      <c r="M29" s="80"/>
      <c r="N29" s="39">
        <v>12.0</v>
      </c>
      <c r="O29" s="39">
        <v>15.0</v>
      </c>
      <c r="P29" s="39">
        <v>14.0</v>
      </c>
      <c r="Q29" s="39">
        <v>13.0</v>
      </c>
      <c r="R29" s="39">
        <v>12.0</v>
      </c>
      <c r="S29" s="39">
        <v>32.0</v>
      </c>
      <c r="T29" s="39">
        <v>33.0</v>
      </c>
      <c r="U29" s="39">
        <v>39.0</v>
      </c>
      <c r="V29" s="39">
        <v>26.0</v>
      </c>
      <c r="W29" s="39">
        <v>33.0</v>
      </c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</row>
    <row r="30">
      <c r="A30" s="39">
        <v>27.0</v>
      </c>
      <c r="B30" s="48" t="s">
        <v>460</v>
      </c>
      <c r="C30" s="48" t="s">
        <v>461</v>
      </c>
      <c r="D30" s="48">
        <v>900594.0</v>
      </c>
      <c r="E30" s="39">
        <v>15.0</v>
      </c>
      <c r="F30" s="39">
        <v>17.0</v>
      </c>
      <c r="G30" s="39">
        <v>16.0</v>
      </c>
      <c r="H30" s="39" t="s">
        <v>32</v>
      </c>
      <c r="I30" s="39">
        <v>12.0</v>
      </c>
      <c r="J30" s="39">
        <v>7.0</v>
      </c>
      <c r="K30" s="39">
        <v>8.0</v>
      </c>
      <c r="L30" s="39">
        <v>7.0</v>
      </c>
      <c r="M30" s="78"/>
      <c r="N30" s="78">
        <v>8.0</v>
      </c>
      <c r="O30" s="210">
        <v>7.0</v>
      </c>
      <c r="P30" s="78">
        <v>10.0</v>
      </c>
      <c r="Q30" s="78">
        <v>8.0</v>
      </c>
      <c r="R30" s="78">
        <v>8.0</v>
      </c>
      <c r="S30" s="78">
        <v>20.0</v>
      </c>
      <c r="T30" s="78">
        <v>23.0</v>
      </c>
      <c r="U30" s="210">
        <v>6.0</v>
      </c>
      <c r="V30" s="45">
        <v>20.0</v>
      </c>
      <c r="W30" s="45">
        <v>20.0</v>
      </c>
      <c r="X30" s="74"/>
      <c r="Y30" s="74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</row>
    <row r="31">
      <c r="A31" s="39">
        <v>28.0</v>
      </c>
      <c r="B31" s="48" t="s">
        <v>462</v>
      </c>
      <c r="C31" s="48" t="s">
        <v>463</v>
      </c>
      <c r="D31" s="48">
        <v>900408.0</v>
      </c>
      <c r="E31" s="39">
        <v>16.0</v>
      </c>
      <c r="F31" s="39">
        <v>18.0</v>
      </c>
      <c r="G31" s="39">
        <v>15.0</v>
      </c>
      <c r="H31" s="39">
        <v>16.0</v>
      </c>
      <c r="I31" s="39">
        <v>16.0</v>
      </c>
      <c r="J31" s="41">
        <v>3.0</v>
      </c>
      <c r="K31" s="39">
        <v>11.0</v>
      </c>
      <c r="L31" s="41">
        <v>5.0</v>
      </c>
      <c r="M31" s="87"/>
      <c r="N31" s="210" t="s">
        <v>32</v>
      </c>
      <c r="O31" s="210" t="s">
        <v>32</v>
      </c>
      <c r="P31" s="43" t="s">
        <v>32</v>
      </c>
      <c r="Q31" s="43" t="s">
        <v>32</v>
      </c>
      <c r="R31" s="211" t="s">
        <v>32</v>
      </c>
      <c r="S31" s="211" t="s">
        <v>32</v>
      </c>
      <c r="T31" s="211" t="s">
        <v>32</v>
      </c>
      <c r="U31" s="211" t="s">
        <v>32</v>
      </c>
      <c r="V31" s="210" t="s">
        <v>32</v>
      </c>
      <c r="W31" s="210" t="s">
        <v>32</v>
      </c>
      <c r="X31" s="78"/>
      <c r="Y31" s="101"/>
      <c r="Z31" s="47"/>
      <c r="AA31" s="47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</row>
    <row r="32">
      <c r="A32" s="39">
        <v>29.0</v>
      </c>
      <c r="B32" s="39" t="s">
        <v>464</v>
      </c>
      <c r="C32" s="39" t="s">
        <v>465</v>
      </c>
      <c r="D32" s="39">
        <v>901123.0</v>
      </c>
      <c r="E32" s="39">
        <v>18.0</v>
      </c>
      <c r="F32" s="39">
        <v>17.0</v>
      </c>
      <c r="G32" s="39">
        <v>18.0</v>
      </c>
      <c r="H32" s="39">
        <v>19.0</v>
      </c>
      <c r="I32" s="39">
        <v>19.0</v>
      </c>
      <c r="J32" s="39">
        <v>13.0</v>
      </c>
      <c r="K32" s="39">
        <v>12.0</v>
      </c>
      <c r="L32" s="39">
        <v>14.0</v>
      </c>
      <c r="M32" s="46"/>
      <c r="N32" s="78">
        <v>12.0</v>
      </c>
      <c r="O32" s="78">
        <v>14.0</v>
      </c>
      <c r="P32" s="46">
        <v>15.0</v>
      </c>
      <c r="Q32" s="46">
        <v>13.0</v>
      </c>
      <c r="R32" s="78">
        <v>13.0</v>
      </c>
      <c r="S32" s="78">
        <v>37.0</v>
      </c>
      <c r="T32" s="79">
        <v>38.0</v>
      </c>
      <c r="U32" s="79">
        <v>39.0</v>
      </c>
      <c r="V32" s="78">
        <v>33.0</v>
      </c>
      <c r="W32" s="78">
        <v>30.0</v>
      </c>
      <c r="X32" s="102"/>
      <c r="Y32" s="102"/>
      <c r="Z32" s="47"/>
      <c r="AA32" s="47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39">
        <v>30.0</v>
      </c>
      <c r="B33" s="39" t="s">
        <v>466</v>
      </c>
      <c r="C33" s="39" t="s">
        <v>467</v>
      </c>
      <c r="D33" s="39">
        <v>900468.0</v>
      </c>
      <c r="E33" s="103">
        <v>13.0</v>
      </c>
      <c r="F33" s="39">
        <v>10.0</v>
      </c>
      <c r="G33" s="39">
        <v>13.0</v>
      </c>
      <c r="H33" s="39">
        <v>17.0</v>
      </c>
      <c r="I33" s="39">
        <v>17.0</v>
      </c>
      <c r="J33" s="39">
        <v>7.0</v>
      </c>
      <c r="K33" s="39">
        <v>12.0</v>
      </c>
      <c r="L33" s="39">
        <v>9.0</v>
      </c>
      <c r="M33" s="46"/>
      <c r="N33" s="78">
        <v>11.0</v>
      </c>
      <c r="O33" s="78">
        <v>12.0</v>
      </c>
      <c r="P33" s="46">
        <v>11.0</v>
      </c>
      <c r="Q33" s="46">
        <v>10.0</v>
      </c>
      <c r="R33" s="78">
        <v>10.0</v>
      </c>
      <c r="S33" s="78">
        <v>33.0</v>
      </c>
      <c r="T33" s="79">
        <v>22.0</v>
      </c>
      <c r="U33" s="79">
        <v>37.0</v>
      </c>
      <c r="V33" s="78">
        <v>25.0</v>
      </c>
      <c r="W33" s="78">
        <v>30.0</v>
      </c>
      <c r="X33" s="102"/>
      <c r="Y33" s="102"/>
      <c r="Z33" s="47"/>
      <c r="AA33" s="47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</row>
    <row r="34">
      <c r="A34" s="39">
        <v>31.0</v>
      </c>
      <c r="B34" s="48" t="s">
        <v>468</v>
      </c>
      <c r="C34" s="48" t="s">
        <v>469</v>
      </c>
      <c r="D34" s="48">
        <v>900592.0</v>
      </c>
      <c r="E34" s="39">
        <v>10.0</v>
      </c>
      <c r="F34" s="39">
        <v>19.0</v>
      </c>
      <c r="G34" s="39">
        <v>10.0</v>
      </c>
      <c r="H34" s="39">
        <v>13.0</v>
      </c>
      <c r="I34" s="39">
        <v>13.0</v>
      </c>
      <c r="J34" s="41">
        <v>2.0</v>
      </c>
      <c r="K34" s="41" t="s">
        <v>32</v>
      </c>
      <c r="L34" s="41">
        <v>3.0</v>
      </c>
      <c r="M34" s="46"/>
      <c r="N34" s="78">
        <v>10.0</v>
      </c>
      <c r="O34" s="78">
        <v>9.0</v>
      </c>
      <c r="P34" s="46">
        <v>12.0</v>
      </c>
      <c r="Q34" s="46">
        <v>10.0</v>
      </c>
      <c r="R34" s="78">
        <v>9.0</v>
      </c>
      <c r="S34" s="78">
        <v>35.0</v>
      </c>
      <c r="T34" s="212">
        <v>13.0</v>
      </c>
      <c r="U34" s="212">
        <v>12.0</v>
      </c>
      <c r="V34" s="78">
        <v>21.0</v>
      </c>
      <c r="W34" s="78">
        <v>20.0</v>
      </c>
      <c r="X34" s="102"/>
      <c r="Y34" s="102"/>
      <c r="Z34" s="47"/>
      <c r="AA34" s="47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</row>
    <row r="35">
      <c r="A35" s="39">
        <v>32.0</v>
      </c>
      <c r="B35" s="34" t="s">
        <v>470</v>
      </c>
      <c r="C35" s="34" t="s">
        <v>471</v>
      </c>
      <c r="D35" s="34">
        <v>900814.0</v>
      </c>
      <c r="E35" s="111">
        <v>9.0</v>
      </c>
      <c r="F35" s="111">
        <v>5.0</v>
      </c>
      <c r="G35" s="111">
        <v>18.0</v>
      </c>
      <c r="H35" s="111">
        <v>19.0</v>
      </c>
      <c r="I35" s="111">
        <v>19.0</v>
      </c>
      <c r="J35" s="39">
        <v>13.0</v>
      </c>
      <c r="K35" s="39">
        <v>12.0</v>
      </c>
      <c r="L35" s="39">
        <v>14.0</v>
      </c>
      <c r="M35" s="46"/>
      <c r="N35" s="78">
        <v>14.0</v>
      </c>
      <c r="O35" s="78">
        <v>12.0</v>
      </c>
      <c r="P35" s="46">
        <v>15.0</v>
      </c>
      <c r="Q35" s="46">
        <v>14.0</v>
      </c>
      <c r="R35" s="78">
        <v>13.0</v>
      </c>
      <c r="S35" s="78">
        <v>38.0</v>
      </c>
      <c r="T35" s="78">
        <v>38.0</v>
      </c>
      <c r="U35" s="78">
        <v>39.0</v>
      </c>
      <c r="V35" s="46">
        <v>38.0</v>
      </c>
      <c r="W35" s="46">
        <v>36.0</v>
      </c>
      <c r="X35" s="47"/>
      <c r="Y35" s="47"/>
      <c r="Z35" s="47"/>
      <c r="AA35" s="47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39">
        <v>33.0</v>
      </c>
      <c r="B36" s="34" t="s">
        <v>472</v>
      </c>
      <c r="C36" s="34" t="s">
        <v>473</v>
      </c>
      <c r="D36" s="34">
        <v>900442.0</v>
      </c>
      <c r="E36" s="42"/>
      <c r="F36" s="42"/>
      <c r="G36" s="42"/>
      <c r="H36" s="42"/>
      <c r="I36" s="42"/>
      <c r="J36" s="41">
        <v>4.0</v>
      </c>
      <c r="K36" s="41">
        <v>6.0</v>
      </c>
      <c r="L36" s="41"/>
      <c r="M36" s="87"/>
      <c r="N36" s="210">
        <v>5.0</v>
      </c>
      <c r="O36" s="210">
        <v>3.0</v>
      </c>
      <c r="P36" s="43">
        <v>4.0</v>
      </c>
      <c r="Q36" s="43">
        <v>2.0</v>
      </c>
      <c r="R36" s="43">
        <v>2.0</v>
      </c>
      <c r="S36" s="46">
        <v>20.0</v>
      </c>
      <c r="T36" s="46">
        <v>22.0</v>
      </c>
      <c r="U36" s="43">
        <v>12.0</v>
      </c>
      <c r="V36" s="46">
        <v>20.0</v>
      </c>
      <c r="W36" s="46">
        <v>23.0</v>
      </c>
      <c r="X36" s="47"/>
      <c r="Y36" s="47"/>
      <c r="Z36" s="47"/>
      <c r="AA36" s="47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</row>
    <row r="37">
      <c r="A37" s="39">
        <v>34.0</v>
      </c>
      <c r="B37" s="34" t="s">
        <v>474</v>
      </c>
      <c r="C37" s="34" t="s">
        <v>475</v>
      </c>
      <c r="D37" s="117">
        <v>1000006.0</v>
      </c>
      <c r="E37" s="42"/>
      <c r="F37" s="42"/>
      <c r="G37" s="42"/>
      <c r="H37" s="42"/>
      <c r="I37" s="42"/>
      <c r="J37" s="39"/>
      <c r="K37" s="39"/>
      <c r="L37" s="39"/>
      <c r="M37" s="47"/>
      <c r="N37" s="46" t="s">
        <v>127</v>
      </c>
      <c r="O37" s="46" t="s">
        <v>127</v>
      </c>
      <c r="P37" s="46" t="s">
        <v>127</v>
      </c>
      <c r="Q37" s="46" t="s">
        <v>127</v>
      </c>
      <c r="R37" s="46" t="s">
        <v>127</v>
      </c>
      <c r="S37" s="46">
        <v>31.0</v>
      </c>
      <c r="T37" s="43">
        <v>8.0</v>
      </c>
      <c r="U37" s="46">
        <v>26.0</v>
      </c>
      <c r="V37" s="43">
        <v>6.0</v>
      </c>
      <c r="W37" s="46">
        <v>20.0</v>
      </c>
      <c r="X37" s="47"/>
      <c r="Y37" s="47"/>
      <c r="Z37" s="47"/>
      <c r="AA37" s="47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</row>
    <row r="38">
      <c r="A38" s="39">
        <v>35.0</v>
      </c>
      <c r="B38" s="207" t="s">
        <v>476</v>
      </c>
      <c r="C38" s="111" t="s">
        <v>477</v>
      </c>
      <c r="D38" s="111">
        <v>901165.0</v>
      </c>
      <c r="E38" s="42"/>
      <c r="F38" s="42"/>
      <c r="G38" s="42"/>
      <c r="H38" s="42"/>
      <c r="I38" s="42"/>
      <c r="J38" s="42"/>
      <c r="K38" s="42"/>
      <c r="L38" s="42"/>
      <c r="M38" s="42"/>
      <c r="N38" s="41">
        <v>5.0</v>
      </c>
      <c r="O38" s="41">
        <v>6.0</v>
      </c>
      <c r="P38" s="41">
        <v>2.0</v>
      </c>
      <c r="Q38" s="41">
        <v>7.0</v>
      </c>
      <c r="R38" s="41">
        <v>2.0</v>
      </c>
      <c r="S38" s="39">
        <v>25.0</v>
      </c>
      <c r="T38" s="39">
        <v>20.0</v>
      </c>
      <c r="U38" s="41">
        <v>5.0</v>
      </c>
      <c r="V38" s="39">
        <v>22.0</v>
      </c>
      <c r="W38" s="39">
        <v>20.0</v>
      </c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39">
        <v>36.0</v>
      </c>
      <c r="B39" s="207" t="s">
        <v>192</v>
      </c>
      <c r="C39" s="111" t="s">
        <v>477</v>
      </c>
      <c r="D39" s="111">
        <v>901163.0</v>
      </c>
      <c r="E39" s="42"/>
      <c r="F39" s="42"/>
      <c r="G39" s="42"/>
      <c r="H39" s="42"/>
      <c r="I39" s="42"/>
      <c r="J39" s="42"/>
      <c r="K39" s="42"/>
      <c r="L39" s="42"/>
      <c r="M39" s="42"/>
      <c r="N39" s="41">
        <v>2.0</v>
      </c>
      <c r="O39" s="41">
        <v>3.0</v>
      </c>
      <c r="P39" s="41">
        <v>5.0</v>
      </c>
      <c r="Q39" s="41">
        <v>2.0</v>
      </c>
      <c r="R39" s="41">
        <v>1.0</v>
      </c>
      <c r="S39" s="41">
        <v>1.0</v>
      </c>
      <c r="T39" s="41">
        <v>8.0</v>
      </c>
      <c r="U39" s="41">
        <v>0.0</v>
      </c>
      <c r="V39" s="41">
        <v>8.0</v>
      </c>
      <c r="W39" s="41">
        <v>6.0</v>
      </c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</row>
    <row r="40">
      <c r="A40" s="39">
        <v>37.0</v>
      </c>
      <c r="B40" s="207" t="s">
        <v>478</v>
      </c>
      <c r="C40" s="111" t="s">
        <v>479</v>
      </c>
      <c r="D40" s="111">
        <v>1000154.0</v>
      </c>
      <c r="E40" s="42"/>
      <c r="F40" s="42"/>
      <c r="G40" s="42"/>
      <c r="H40" s="42"/>
      <c r="I40" s="42"/>
      <c r="J40" s="42"/>
      <c r="K40" s="42"/>
      <c r="L40" s="42"/>
      <c r="M40" s="42"/>
      <c r="N40" s="39" t="s">
        <v>135</v>
      </c>
      <c r="O40" s="39" t="s">
        <v>135</v>
      </c>
      <c r="P40" s="39" t="s">
        <v>135</v>
      </c>
      <c r="Q40" s="39" t="s">
        <v>135</v>
      </c>
      <c r="R40" s="39" t="s">
        <v>135</v>
      </c>
      <c r="S40" s="41">
        <v>4.0</v>
      </c>
      <c r="T40" s="39">
        <v>20.0</v>
      </c>
      <c r="U40" s="41">
        <v>15.0</v>
      </c>
      <c r="V40" s="41">
        <v>4.0</v>
      </c>
      <c r="W40" s="41">
        <v>10.0</v>
      </c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</row>
    <row r="41">
      <c r="A41" s="39">
        <v>38.0</v>
      </c>
      <c r="B41" s="207" t="s">
        <v>480</v>
      </c>
      <c r="C41" s="111" t="s">
        <v>481</v>
      </c>
      <c r="D41" s="111">
        <v>901263.0</v>
      </c>
      <c r="E41" s="42"/>
      <c r="F41" s="42"/>
      <c r="G41" s="42"/>
      <c r="H41" s="42"/>
      <c r="I41" s="42"/>
      <c r="J41" s="42"/>
      <c r="K41" s="42"/>
      <c r="L41" s="42"/>
      <c r="M41" s="42"/>
      <c r="N41" s="39" t="s">
        <v>135</v>
      </c>
      <c r="O41" s="39" t="s">
        <v>135</v>
      </c>
      <c r="P41" s="39" t="s">
        <v>135</v>
      </c>
      <c r="Q41" s="39" t="s">
        <v>135</v>
      </c>
      <c r="R41" s="39" t="s">
        <v>135</v>
      </c>
      <c r="S41" s="39">
        <v>21.0</v>
      </c>
      <c r="T41" s="41">
        <v>8.0</v>
      </c>
      <c r="U41" s="39">
        <v>26.0</v>
      </c>
      <c r="V41" s="41">
        <v>6.0</v>
      </c>
      <c r="W41" s="39">
        <v>20.0</v>
      </c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39">
        <v>39.0</v>
      </c>
      <c r="B42" s="207" t="s">
        <v>161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39">
        <v>31.0</v>
      </c>
      <c r="T42" s="39">
        <v>24.0</v>
      </c>
      <c r="U42" s="39">
        <v>29.0</v>
      </c>
      <c r="V42" s="39">
        <v>26.0</v>
      </c>
      <c r="W42" s="39">
        <v>31.0</v>
      </c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</row>
    <row r="43">
      <c r="A43" s="42"/>
      <c r="B43" s="213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160"/>
      <c r="O43" s="160"/>
      <c r="P43" s="160"/>
      <c r="Q43" s="160"/>
      <c r="R43" s="160"/>
      <c r="S43" s="58"/>
      <c r="T43" s="58"/>
      <c r="U43" s="58"/>
      <c r="V43" s="58"/>
      <c r="W43" s="58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</row>
    <row r="44">
      <c r="A44" s="42"/>
      <c r="B44" s="213" t="s">
        <v>85</v>
      </c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160">
        <f t="shared" ref="N44:Q44" si="1">sum(N4:N41)</f>
        <v>234</v>
      </c>
      <c r="O44" s="160">
        <f t="shared" si="1"/>
        <v>254</v>
      </c>
      <c r="P44" s="160">
        <f t="shared" si="1"/>
        <v>249</v>
      </c>
      <c r="Q44" s="160">
        <f t="shared" si="1"/>
        <v>233</v>
      </c>
      <c r="R44" s="160">
        <f t="shared" ref="R44:W44" si="2">sum(R4:R42)</f>
        <v>232</v>
      </c>
      <c r="S44" s="160">
        <f t="shared" si="2"/>
        <v>754</v>
      </c>
      <c r="T44" s="160">
        <f t="shared" si="2"/>
        <v>899</v>
      </c>
      <c r="U44" s="160">
        <f t="shared" si="2"/>
        <v>852</v>
      </c>
      <c r="V44" s="160">
        <f t="shared" si="2"/>
        <v>716</v>
      </c>
      <c r="W44" s="160">
        <f t="shared" si="2"/>
        <v>770</v>
      </c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</row>
    <row r="45">
      <c r="A45" s="42"/>
      <c r="B45" s="213" t="s">
        <v>86</v>
      </c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214">
        <f t="shared" ref="N45:W45" si="3">N44/N49</f>
        <v>8.666666667</v>
      </c>
      <c r="O45" s="214">
        <f t="shared" si="3"/>
        <v>9.407407407</v>
      </c>
      <c r="P45" s="214">
        <f t="shared" si="3"/>
        <v>9.222222222</v>
      </c>
      <c r="Q45" s="214">
        <f t="shared" si="3"/>
        <v>8.62962963</v>
      </c>
      <c r="R45" s="214">
        <f t="shared" si="3"/>
        <v>8.592592593</v>
      </c>
      <c r="S45" s="91">
        <f t="shared" si="3"/>
        <v>22.84848485</v>
      </c>
      <c r="T45" s="91">
        <f t="shared" si="3"/>
        <v>24.97222222</v>
      </c>
      <c r="U45" s="91">
        <f t="shared" si="3"/>
        <v>24.34285714</v>
      </c>
      <c r="V45" s="91">
        <f t="shared" si="3"/>
        <v>20.45714286</v>
      </c>
      <c r="W45" s="91">
        <f t="shared" si="3"/>
        <v>22.64705882</v>
      </c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</row>
    <row r="46">
      <c r="A46" s="42"/>
      <c r="B46" s="213" t="s">
        <v>87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165">
        <v>39.0</v>
      </c>
      <c r="O46" s="165">
        <v>39.0</v>
      </c>
      <c r="P46" s="165">
        <v>39.0</v>
      </c>
      <c r="Q46" s="165">
        <v>39.0</v>
      </c>
      <c r="R46" s="165">
        <v>39.0</v>
      </c>
      <c r="S46" s="62">
        <v>39.0</v>
      </c>
      <c r="T46" s="62">
        <v>39.0</v>
      </c>
      <c r="U46" s="62">
        <v>39.0</v>
      </c>
      <c r="V46" s="62">
        <v>39.0</v>
      </c>
      <c r="W46" s="62">
        <v>39.0</v>
      </c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</row>
    <row r="47">
      <c r="A47" s="42"/>
      <c r="B47" s="213" t="s">
        <v>88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165">
        <v>20.0</v>
      </c>
      <c r="O47" s="165">
        <v>20.0</v>
      </c>
      <c r="P47" s="165">
        <v>20.0</v>
      </c>
      <c r="Q47" s="165">
        <v>20.0</v>
      </c>
      <c r="R47" s="165">
        <v>20.0</v>
      </c>
      <c r="S47" s="62">
        <v>25.0</v>
      </c>
      <c r="T47" s="62">
        <v>28.0</v>
      </c>
      <c r="U47" s="62">
        <v>24.0</v>
      </c>
      <c r="V47" s="62">
        <v>26.0</v>
      </c>
      <c r="W47" s="62">
        <v>27.0</v>
      </c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</row>
    <row r="48">
      <c r="A48" s="42"/>
      <c r="B48" s="213" t="s">
        <v>89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93">
        <v>7.0</v>
      </c>
      <c r="O48" s="93">
        <v>7.0</v>
      </c>
      <c r="P48" s="93">
        <v>7.0</v>
      </c>
      <c r="Q48" s="93">
        <v>7.0</v>
      </c>
      <c r="R48" s="93">
        <v>7.0</v>
      </c>
      <c r="S48" s="113">
        <v>8.0</v>
      </c>
      <c r="T48" s="113">
        <v>8.0</v>
      </c>
      <c r="U48" s="113">
        <v>11.0</v>
      </c>
      <c r="V48" s="113">
        <v>9.0</v>
      </c>
      <c r="W48" s="113">
        <v>7.0</v>
      </c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</row>
    <row r="49">
      <c r="A49" s="42"/>
      <c r="B49" s="213" t="s">
        <v>90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165">
        <v>27.0</v>
      </c>
      <c r="O49" s="165">
        <v>27.0</v>
      </c>
      <c r="P49" s="165">
        <v>27.0</v>
      </c>
      <c r="Q49" s="165">
        <v>27.0</v>
      </c>
      <c r="R49" s="165">
        <v>27.0</v>
      </c>
      <c r="S49" s="62">
        <v>33.0</v>
      </c>
      <c r="T49" s="62">
        <v>36.0</v>
      </c>
      <c r="U49" s="62">
        <v>35.0</v>
      </c>
      <c r="V49" s="62">
        <v>35.0</v>
      </c>
      <c r="W49" s="62">
        <v>34.0</v>
      </c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</row>
    <row r="50">
      <c r="A50" s="42"/>
      <c r="B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160">
        <f t="shared" ref="N50:R50" si="4">COUNTIF(N4:N41,"A")</f>
        <v>8</v>
      </c>
      <c r="O50" s="160">
        <f t="shared" si="4"/>
        <v>8</v>
      </c>
      <c r="P50" s="160">
        <f t="shared" si="4"/>
        <v>8</v>
      </c>
      <c r="Q50" s="160">
        <f t="shared" si="4"/>
        <v>8</v>
      </c>
      <c r="R50" s="160">
        <f t="shared" si="4"/>
        <v>8</v>
      </c>
      <c r="S50" s="160"/>
      <c r="T50" s="160"/>
      <c r="U50" s="160"/>
      <c r="V50" s="63"/>
      <c r="W50" s="63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</row>
    <row r="51">
      <c r="A51" s="42"/>
      <c r="B51" s="185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</row>
    <row r="52">
      <c r="B52" s="194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</row>
    <row r="53">
      <c r="B53" s="194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</row>
    <row r="54">
      <c r="B54" s="194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</row>
    <row r="55">
      <c r="B55" s="194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</row>
    <row r="56">
      <c r="B56" s="194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</row>
    <row r="57">
      <c r="B57" s="194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</row>
    <row r="58">
      <c r="B58" s="194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</row>
    <row r="59">
      <c r="B59" s="194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</row>
    <row r="60">
      <c r="B60" s="194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</row>
    <row r="61">
      <c r="B61" s="194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</row>
    <row r="62">
      <c r="B62" s="194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</row>
    <row r="63">
      <c r="B63" s="194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</row>
    <row r="64">
      <c r="B64" s="194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</row>
    <row r="65">
      <c r="B65" s="194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</row>
    <row r="66">
      <c r="B66" s="194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</row>
    <row r="67">
      <c r="B67" s="194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</row>
    <row r="68">
      <c r="B68" s="194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</row>
    <row r="69">
      <c r="B69" s="194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</row>
    <row r="70">
      <c r="B70" s="194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</row>
    <row r="71">
      <c r="B71" s="194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</row>
    <row r="72">
      <c r="B72" s="194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</row>
    <row r="73">
      <c r="B73" s="194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</row>
    <row r="74">
      <c r="B74" s="194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</row>
    <row r="75">
      <c r="B75" s="194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</row>
    <row r="76">
      <c r="B76" s="194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</row>
    <row r="77">
      <c r="B77" s="194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</row>
    <row r="78">
      <c r="B78" s="194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</row>
    <row r="79">
      <c r="B79" s="194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</row>
    <row r="80">
      <c r="B80" s="194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</row>
    <row r="81">
      <c r="B81" s="194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</row>
    <row r="82">
      <c r="B82" s="194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</row>
    <row r="83">
      <c r="B83" s="194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</row>
    <row r="84">
      <c r="B84" s="194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</row>
    <row r="85">
      <c r="B85" s="194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</row>
    <row r="86">
      <c r="B86" s="194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</row>
    <row r="87">
      <c r="B87" s="194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</row>
    <row r="88">
      <c r="B88" s="194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</row>
    <row r="89">
      <c r="B89" s="194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</row>
    <row r="90">
      <c r="B90" s="194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</row>
    <row r="91">
      <c r="B91" s="194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</row>
    <row r="92">
      <c r="B92" s="194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</row>
    <row r="93">
      <c r="B93" s="194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</row>
    <row r="94">
      <c r="B94" s="194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</row>
    <row r="95">
      <c r="B95" s="194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</row>
    <row r="96">
      <c r="B96" s="194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</row>
    <row r="97">
      <c r="B97" s="194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</row>
    <row r="98">
      <c r="B98" s="194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</row>
    <row r="99">
      <c r="B99" s="194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</row>
    <row r="100">
      <c r="B100" s="194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</row>
    <row r="101">
      <c r="B101" s="194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</row>
    <row r="102">
      <c r="B102" s="194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</row>
    <row r="103">
      <c r="B103" s="194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</row>
    <row r="104">
      <c r="B104" s="194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</row>
    <row r="105">
      <c r="B105" s="194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</row>
    <row r="106">
      <c r="B106" s="194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</row>
    <row r="107">
      <c r="B107" s="194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</row>
    <row r="108">
      <c r="B108" s="194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</row>
    <row r="109">
      <c r="B109" s="194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</row>
    <row r="110">
      <c r="B110" s="194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</row>
    <row r="111">
      <c r="B111" s="194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</row>
    <row r="112">
      <c r="B112" s="194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</row>
    <row r="113">
      <c r="B113" s="194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</row>
    <row r="114">
      <c r="B114" s="194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</row>
    <row r="115">
      <c r="B115" s="194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</row>
    <row r="116">
      <c r="B116" s="194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</row>
    <row r="117">
      <c r="B117" s="194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</row>
    <row r="118">
      <c r="B118" s="194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</row>
    <row r="119">
      <c r="B119" s="194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</row>
    <row r="120">
      <c r="B120" s="194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</row>
    <row r="121">
      <c r="B121" s="194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</row>
    <row r="122">
      <c r="B122" s="194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</row>
    <row r="123">
      <c r="B123" s="194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</row>
    <row r="124">
      <c r="B124" s="194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</row>
    <row r="125">
      <c r="B125" s="194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</row>
    <row r="126">
      <c r="B126" s="194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</row>
    <row r="127">
      <c r="B127" s="194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</row>
    <row r="128">
      <c r="B128" s="194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</row>
    <row r="129">
      <c r="B129" s="194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</row>
    <row r="130">
      <c r="B130" s="194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</row>
    <row r="131">
      <c r="B131" s="194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</row>
    <row r="132">
      <c r="B132" s="194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</row>
    <row r="133">
      <c r="B133" s="194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</row>
    <row r="134">
      <c r="B134" s="194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</row>
    <row r="135">
      <c r="B135" s="194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</row>
    <row r="136">
      <c r="B136" s="194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</row>
    <row r="137">
      <c r="B137" s="194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</row>
    <row r="138">
      <c r="B138" s="194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</row>
    <row r="139">
      <c r="B139" s="194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</row>
    <row r="140">
      <c r="B140" s="194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</row>
    <row r="141">
      <c r="B141" s="194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</row>
    <row r="142">
      <c r="B142" s="194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</row>
    <row r="143">
      <c r="B143" s="194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</row>
    <row r="144">
      <c r="B144" s="194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</row>
    <row r="145">
      <c r="B145" s="194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</row>
    <row r="146">
      <c r="B146" s="194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</row>
    <row r="147">
      <c r="B147" s="194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</row>
    <row r="148">
      <c r="B148" s="194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</row>
    <row r="149">
      <c r="B149" s="194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</row>
    <row r="150">
      <c r="B150" s="194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</row>
    <row r="151">
      <c r="B151" s="194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</row>
    <row r="152">
      <c r="B152" s="194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</row>
    <row r="153">
      <c r="B153" s="194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</row>
    <row r="154">
      <c r="B154" s="194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</row>
    <row r="155">
      <c r="B155" s="194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</row>
    <row r="156">
      <c r="B156" s="194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</row>
    <row r="157">
      <c r="B157" s="194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</row>
    <row r="158">
      <c r="B158" s="194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</row>
    <row r="159">
      <c r="B159" s="194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</row>
    <row r="160">
      <c r="B160" s="194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</row>
    <row r="161">
      <c r="B161" s="194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</row>
    <row r="162">
      <c r="B162" s="194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</row>
    <row r="163">
      <c r="B163" s="194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</row>
    <row r="164">
      <c r="B164" s="194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</row>
    <row r="165">
      <c r="B165" s="194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</row>
    <row r="166">
      <c r="B166" s="194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</row>
    <row r="167">
      <c r="B167" s="194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</row>
    <row r="168">
      <c r="B168" s="194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</row>
    <row r="169">
      <c r="B169" s="194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</row>
    <row r="170">
      <c r="B170" s="194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</row>
    <row r="171">
      <c r="B171" s="194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</row>
    <row r="172">
      <c r="B172" s="194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</row>
    <row r="173">
      <c r="B173" s="194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</row>
    <row r="174">
      <c r="B174" s="194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</row>
    <row r="175">
      <c r="B175" s="194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</row>
    <row r="176">
      <c r="B176" s="194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</row>
    <row r="177">
      <c r="B177" s="194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</row>
    <row r="178">
      <c r="B178" s="194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</row>
    <row r="179">
      <c r="B179" s="194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</row>
    <row r="180">
      <c r="B180" s="194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</row>
    <row r="181">
      <c r="B181" s="194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</row>
    <row r="182">
      <c r="B182" s="194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</row>
    <row r="183">
      <c r="B183" s="194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</row>
    <row r="184">
      <c r="B184" s="194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</row>
    <row r="185">
      <c r="B185" s="194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</row>
    <row r="186">
      <c r="B186" s="194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</row>
    <row r="187">
      <c r="B187" s="194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</row>
    <row r="188">
      <c r="B188" s="194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</row>
    <row r="189">
      <c r="B189" s="194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</row>
    <row r="190">
      <c r="B190" s="194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</row>
    <row r="191">
      <c r="B191" s="194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</row>
    <row r="192">
      <c r="B192" s="194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</row>
    <row r="193">
      <c r="B193" s="194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</row>
    <row r="194">
      <c r="B194" s="194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</row>
    <row r="195">
      <c r="B195" s="194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</row>
    <row r="196">
      <c r="B196" s="194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</row>
    <row r="197">
      <c r="B197" s="194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</row>
    <row r="198">
      <c r="B198" s="194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</row>
    <row r="199">
      <c r="B199" s="194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</row>
    <row r="200">
      <c r="B200" s="194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</row>
    <row r="201">
      <c r="B201" s="194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</row>
    <row r="202">
      <c r="B202" s="194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</row>
    <row r="203">
      <c r="B203" s="194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</row>
    <row r="204">
      <c r="B204" s="194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</row>
    <row r="205">
      <c r="B205" s="194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</row>
    <row r="206">
      <c r="B206" s="194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</row>
    <row r="207">
      <c r="B207" s="194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</row>
    <row r="208">
      <c r="B208" s="194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</row>
    <row r="209">
      <c r="B209" s="194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</row>
    <row r="210">
      <c r="B210" s="194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</row>
    <row r="211">
      <c r="B211" s="194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</row>
    <row r="212">
      <c r="B212" s="194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</row>
    <row r="213">
      <c r="B213" s="194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</row>
    <row r="214">
      <c r="B214" s="194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</row>
    <row r="215">
      <c r="B215" s="194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</row>
    <row r="216">
      <c r="B216" s="194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</row>
    <row r="217">
      <c r="B217" s="194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</row>
    <row r="218">
      <c r="B218" s="194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</row>
    <row r="219">
      <c r="B219" s="194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</row>
    <row r="220">
      <c r="B220" s="194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</row>
    <row r="221">
      <c r="B221" s="194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</row>
    <row r="222">
      <c r="B222" s="194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</row>
    <row r="223">
      <c r="B223" s="194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</row>
    <row r="224">
      <c r="B224" s="194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</row>
    <row r="225">
      <c r="B225" s="194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</row>
    <row r="226">
      <c r="B226" s="194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</row>
    <row r="227">
      <c r="B227" s="194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</row>
    <row r="228">
      <c r="B228" s="194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</row>
    <row r="229">
      <c r="B229" s="194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</row>
    <row r="230">
      <c r="B230" s="194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</row>
    <row r="231">
      <c r="B231" s="194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</row>
    <row r="232">
      <c r="B232" s="194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</row>
    <row r="233">
      <c r="B233" s="194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</row>
    <row r="234">
      <c r="B234" s="194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</row>
    <row r="235">
      <c r="B235" s="194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</row>
    <row r="236">
      <c r="B236" s="194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</row>
    <row r="237">
      <c r="B237" s="194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</row>
    <row r="238">
      <c r="B238" s="194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</row>
    <row r="239">
      <c r="B239" s="194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</row>
    <row r="240">
      <c r="B240" s="194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</row>
    <row r="241">
      <c r="B241" s="194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</row>
    <row r="242">
      <c r="B242" s="194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</row>
    <row r="243">
      <c r="B243" s="194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</row>
    <row r="244">
      <c r="B244" s="194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</row>
    <row r="245">
      <c r="B245" s="194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</row>
    <row r="246">
      <c r="B246" s="194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</row>
    <row r="247">
      <c r="B247" s="194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</row>
    <row r="248">
      <c r="B248" s="194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</row>
    <row r="249">
      <c r="B249" s="194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</row>
    <row r="250">
      <c r="B250" s="194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</row>
    <row r="251">
      <c r="B251" s="194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</row>
    <row r="252">
      <c r="B252" s="194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</row>
    <row r="253">
      <c r="B253" s="194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</row>
    <row r="254">
      <c r="B254" s="194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</row>
    <row r="255">
      <c r="B255" s="194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</row>
    <row r="256">
      <c r="B256" s="194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</row>
    <row r="257">
      <c r="B257" s="194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</row>
    <row r="258">
      <c r="B258" s="194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</row>
    <row r="259">
      <c r="B259" s="194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</row>
    <row r="260">
      <c r="B260" s="194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</row>
    <row r="261">
      <c r="B261" s="194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</row>
    <row r="262">
      <c r="B262" s="194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</row>
    <row r="263">
      <c r="B263" s="194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</row>
    <row r="264">
      <c r="B264" s="194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</row>
    <row r="265">
      <c r="B265" s="194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</row>
    <row r="266">
      <c r="B266" s="194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</row>
    <row r="267">
      <c r="B267" s="194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</row>
    <row r="268">
      <c r="B268" s="194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</row>
    <row r="269">
      <c r="B269" s="194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</row>
    <row r="270">
      <c r="B270" s="194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</row>
    <row r="271">
      <c r="B271" s="194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</row>
    <row r="272">
      <c r="B272" s="194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</row>
    <row r="273">
      <c r="B273" s="194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</row>
    <row r="274">
      <c r="B274" s="194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</row>
    <row r="275">
      <c r="B275" s="194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</row>
    <row r="276">
      <c r="B276" s="194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</row>
    <row r="277">
      <c r="B277" s="194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</row>
    <row r="278">
      <c r="B278" s="194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</row>
    <row r="279">
      <c r="B279" s="194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</row>
    <row r="280">
      <c r="B280" s="194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</row>
    <row r="281">
      <c r="B281" s="194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</row>
    <row r="282">
      <c r="B282" s="194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</row>
    <row r="283">
      <c r="B283" s="194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</row>
    <row r="284">
      <c r="B284" s="194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</row>
    <row r="285">
      <c r="B285" s="194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</row>
    <row r="286">
      <c r="B286" s="194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</row>
    <row r="287">
      <c r="B287" s="194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</row>
    <row r="288">
      <c r="B288" s="194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</row>
    <row r="289">
      <c r="B289" s="194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</row>
    <row r="290">
      <c r="B290" s="194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</row>
    <row r="291">
      <c r="B291" s="194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</row>
    <row r="292">
      <c r="B292" s="194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</row>
    <row r="293">
      <c r="B293" s="194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</row>
    <row r="294">
      <c r="B294" s="194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</row>
    <row r="295">
      <c r="B295" s="194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</row>
    <row r="296">
      <c r="B296" s="194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</row>
    <row r="297">
      <c r="B297" s="194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</row>
    <row r="298">
      <c r="B298" s="194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</row>
    <row r="299">
      <c r="B299" s="194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</row>
    <row r="300">
      <c r="B300" s="194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</row>
    <row r="301">
      <c r="B301" s="194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</row>
    <row r="302">
      <c r="B302" s="194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</row>
    <row r="303">
      <c r="B303" s="194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</row>
    <row r="304">
      <c r="B304" s="194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</row>
    <row r="305">
      <c r="B305" s="194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</row>
    <row r="306">
      <c r="B306" s="194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</row>
    <row r="307">
      <c r="B307" s="194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</row>
    <row r="308">
      <c r="B308" s="194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</row>
    <row r="309">
      <c r="B309" s="194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</row>
    <row r="310">
      <c r="B310" s="194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</row>
    <row r="311">
      <c r="B311" s="194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</row>
    <row r="312">
      <c r="B312" s="194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</row>
    <row r="313">
      <c r="B313" s="194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</row>
    <row r="314">
      <c r="B314" s="194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</row>
    <row r="315">
      <c r="B315" s="194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</row>
    <row r="316">
      <c r="B316" s="194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</row>
    <row r="317">
      <c r="B317" s="194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</row>
    <row r="318">
      <c r="B318" s="194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</row>
    <row r="319">
      <c r="B319" s="194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</row>
    <row r="320">
      <c r="B320" s="194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</row>
    <row r="321">
      <c r="B321" s="194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</row>
    <row r="322">
      <c r="B322" s="194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</row>
    <row r="323">
      <c r="B323" s="194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</row>
    <row r="324">
      <c r="B324" s="194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</row>
    <row r="325">
      <c r="B325" s="194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</row>
    <row r="326">
      <c r="B326" s="194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</row>
    <row r="327">
      <c r="B327" s="194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</row>
    <row r="328">
      <c r="B328" s="194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</row>
    <row r="329">
      <c r="B329" s="194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</row>
    <row r="330">
      <c r="B330" s="194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</row>
    <row r="331">
      <c r="B331" s="194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</row>
    <row r="332">
      <c r="B332" s="194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</row>
    <row r="333">
      <c r="B333" s="194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</row>
    <row r="334">
      <c r="B334" s="194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</row>
    <row r="335">
      <c r="B335" s="194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</row>
    <row r="336">
      <c r="B336" s="194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</row>
    <row r="337">
      <c r="B337" s="194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</row>
    <row r="338">
      <c r="B338" s="194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</row>
    <row r="339">
      <c r="B339" s="194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</row>
    <row r="340">
      <c r="B340" s="194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</row>
    <row r="341">
      <c r="B341" s="194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</row>
    <row r="342">
      <c r="B342" s="194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>
      <c r="B343" s="194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>
      <c r="B344" s="194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>
      <c r="B345" s="194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>
      <c r="B346" s="194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>
      <c r="B347" s="194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>
      <c r="B348" s="194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>
      <c r="B349" s="194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>
      <c r="B350" s="194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>
      <c r="B351" s="194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>
      <c r="B352" s="194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>
      <c r="B353" s="194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>
      <c r="B354" s="194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>
      <c r="B355" s="194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>
      <c r="B356" s="194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>
      <c r="B357" s="194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>
      <c r="B358" s="194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>
      <c r="B359" s="194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>
      <c r="B360" s="194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>
      <c r="B361" s="194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>
      <c r="B362" s="194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>
      <c r="B363" s="194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>
      <c r="B364" s="194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>
      <c r="B365" s="194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>
      <c r="B366" s="194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>
      <c r="B367" s="194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>
      <c r="B368" s="194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>
      <c r="B369" s="194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>
      <c r="B370" s="194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>
      <c r="B371" s="194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>
      <c r="B372" s="194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>
      <c r="B373" s="194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>
      <c r="B374" s="194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>
      <c r="B375" s="194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>
      <c r="B376" s="194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>
      <c r="B377" s="194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>
      <c r="B378" s="194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>
      <c r="B379" s="194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>
      <c r="B380" s="194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>
      <c r="B381" s="194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>
      <c r="B382" s="194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>
      <c r="B383" s="194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>
      <c r="B384" s="194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>
      <c r="B385" s="194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>
      <c r="B386" s="194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>
      <c r="B387" s="194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>
      <c r="B388" s="194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>
      <c r="B389" s="194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>
      <c r="B390" s="194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>
      <c r="B391" s="194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>
      <c r="B392" s="194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>
      <c r="B393" s="194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>
      <c r="B394" s="194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>
      <c r="B395" s="194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>
      <c r="B396" s="194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>
      <c r="B397" s="194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>
      <c r="B398" s="194"/>
    </row>
    <row r="399">
      <c r="B399" s="194"/>
    </row>
    <row r="400">
      <c r="B400" s="194"/>
    </row>
    <row r="401">
      <c r="B401" s="194"/>
    </row>
    <row r="402">
      <c r="B402" s="194"/>
    </row>
    <row r="403">
      <c r="B403" s="194"/>
    </row>
    <row r="404">
      <c r="B404" s="194"/>
    </row>
    <row r="405">
      <c r="B405" s="194"/>
    </row>
    <row r="406">
      <c r="B406" s="194"/>
    </row>
    <row r="407">
      <c r="B407" s="194"/>
    </row>
    <row r="408">
      <c r="B408" s="194"/>
    </row>
    <row r="409">
      <c r="B409" s="194"/>
    </row>
    <row r="410">
      <c r="B410" s="194"/>
    </row>
    <row r="411">
      <c r="B411" s="194"/>
    </row>
    <row r="412">
      <c r="B412" s="194"/>
    </row>
    <row r="413">
      <c r="B413" s="194"/>
    </row>
    <row r="414">
      <c r="B414" s="194"/>
    </row>
    <row r="415">
      <c r="B415" s="194"/>
    </row>
    <row r="416">
      <c r="B416" s="194"/>
    </row>
    <row r="417">
      <c r="B417" s="194"/>
    </row>
    <row r="418">
      <c r="B418" s="194"/>
    </row>
    <row r="419">
      <c r="B419" s="194"/>
    </row>
    <row r="420">
      <c r="B420" s="194"/>
    </row>
    <row r="421">
      <c r="B421" s="194"/>
    </row>
    <row r="422">
      <c r="B422" s="194"/>
    </row>
    <row r="423">
      <c r="B423" s="194"/>
    </row>
    <row r="424">
      <c r="B424" s="194"/>
    </row>
    <row r="425">
      <c r="B425" s="194"/>
    </row>
    <row r="426">
      <c r="B426" s="194"/>
    </row>
    <row r="427">
      <c r="B427" s="194"/>
    </row>
    <row r="428">
      <c r="B428" s="194"/>
    </row>
    <row r="429">
      <c r="B429" s="194"/>
    </row>
    <row r="430">
      <c r="B430" s="194"/>
    </row>
    <row r="431">
      <c r="B431" s="194"/>
    </row>
    <row r="432">
      <c r="B432" s="194"/>
    </row>
    <row r="433">
      <c r="B433" s="194"/>
    </row>
    <row r="434">
      <c r="B434" s="194"/>
    </row>
    <row r="435">
      <c r="B435" s="194"/>
    </row>
    <row r="436">
      <c r="B436" s="194"/>
    </row>
    <row r="437">
      <c r="B437" s="194"/>
    </row>
    <row r="438">
      <c r="B438" s="194"/>
    </row>
    <row r="439">
      <c r="B439" s="194"/>
    </row>
    <row r="440">
      <c r="B440" s="194"/>
    </row>
    <row r="441">
      <c r="B441" s="194"/>
    </row>
    <row r="442">
      <c r="B442" s="194"/>
    </row>
    <row r="443">
      <c r="B443" s="194"/>
    </row>
    <row r="444">
      <c r="B444" s="194"/>
    </row>
    <row r="445">
      <c r="B445" s="194"/>
    </row>
    <row r="446">
      <c r="B446" s="194"/>
    </row>
    <row r="447">
      <c r="B447" s="194"/>
    </row>
    <row r="448">
      <c r="B448" s="194"/>
    </row>
    <row r="449">
      <c r="B449" s="194"/>
    </row>
    <row r="450">
      <c r="B450" s="194"/>
    </row>
    <row r="451">
      <c r="B451" s="194"/>
    </row>
    <row r="452">
      <c r="B452" s="194"/>
    </row>
    <row r="453">
      <c r="B453" s="194"/>
    </row>
    <row r="454">
      <c r="B454" s="194"/>
    </row>
    <row r="455">
      <c r="B455" s="194"/>
    </row>
    <row r="456">
      <c r="B456" s="194"/>
    </row>
    <row r="457">
      <c r="B457" s="194"/>
    </row>
    <row r="458">
      <c r="B458" s="194"/>
    </row>
    <row r="459">
      <c r="B459" s="194"/>
    </row>
    <row r="460">
      <c r="B460" s="194"/>
    </row>
    <row r="461">
      <c r="B461" s="194"/>
    </row>
    <row r="462">
      <c r="B462" s="194"/>
    </row>
    <row r="463">
      <c r="B463" s="194"/>
    </row>
    <row r="464">
      <c r="B464" s="194"/>
    </row>
    <row r="465">
      <c r="B465" s="194"/>
    </row>
    <row r="466">
      <c r="B466" s="194"/>
    </row>
    <row r="467">
      <c r="B467" s="194"/>
    </row>
    <row r="468">
      <c r="B468" s="194"/>
    </row>
    <row r="469">
      <c r="B469" s="194"/>
    </row>
    <row r="470">
      <c r="B470" s="194"/>
    </row>
    <row r="471">
      <c r="B471" s="194"/>
    </row>
    <row r="472">
      <c r="B472" s="194"/>
    </row>
    <row r="473">
      <c r="B473" s="194"/>
    </row>
    <row r="474">
      <c r="B474" s="194"/>
    </row>
    <row r="475">
      <c r="B475" s="194"/>
    </row>
    <row r="476">
      <c r="B476" s="194"/>
    </row>
    <row r="477">
      <c r="B477" s="194"/>
    </row>
    <row r="478">
      <c r="B478" s="194"/>
    </row>
    <row r="479">
      <c r="B479" s="194"/>
    </row>
    <row r="480">
      <c r="B480" s="194"/>
    </row>
    <row r="481">
      <c r="B481" s="194"/>
    </row>
    <row r="482">
      <c r="B482" s="194"/>
    </row>
    <row r="483">
      <c r="B483" s="194"/>
    </row>
    <row r="484">
      <c r="B484" s="194"/>
    </row>
    <row r="485">
      <c r="B485" s="194"/>
    </row>
    <row r="486">
      <c r="B486" s="194"/>
    </row>
    <row r="487">
      <c r="B487" s="194"/>
    </row>
    <row r="488">
      <c r="B488" s="194"/>
    </row>
    <row r="489">
      <c r="B489" s="194"/>
    </row>
    <row r="490">
      <c r="B490" s="194"/>
    </row>
    <row r="491">
      <c r="B491" s="194"/>
    </row>
    <row r="492">
      <c r="B492" s="194"/>
    </row>
    <row r="493">
      <c r="B493" s="194"/>
    </row>
    <row r="494">
      <c r="B494" s="194"/>
    </row>
    <row r="495">
      <c r="B495" s="194"/>
    </row>
    <row r="496">
      <c r="B496" s="194"/>
    </row>
    <row r="497">
      <c r="B497" s="194"/>
    </row>
    <row r="498">
      <c r="B498" s="194"/>
    </row>
    <row r="499">
      <c r="B499" s="194"/>
    </row>
    <row r="500">
      <c r="B500" s="194"/>
    </row>
    <row r="501">
      <c r="B501" s="194"/>
    </row>
    <row r="502">
      <c r="B502" s="194"/>
    </row>
    <row r="503">
      <c r="B503" s="194"/>
    </row>
    <row r="504">
      <c r="B504" s="194"/>
    </row>
    <row r="505">
      <c r="B505" s="194"/>
    </row>
    <row r="506">
      <c r="B506" s="194"/>
    </row>
    <row r="507">
      <c r="B507" s="194"/>
    </row>
    <row r="508">
      <c r="B508" s="194"/>
    </row>
    <row r="509">
      <c r="B509" s="194"/>
    </row>
    <row r="510">
      <c r="B510" s="194"/>
    </row>
    <row r="511">
      <c r="B511" s="194"/>
    </row>
    <row r="512">
      <c r="B512" s="194"/>
    </row>
    <row r="513">
      <c r="B513" s="194"/>
    </row>
    <row r="514">
      <c r="B514" s="194"/>
    </row>
    <row r="515">
      <c r="B515" s="194"/>
    </row>
    <row r="516">
      <c r="B516" s="194"/>
    </row>
    <row r="517">
      <c r="B517" s="194"/>
    </row>
    <row r="518">
      <c r="B518" s="194"/>
    </row>
    <row r="519">
      <c r="B519" s="194"/>
    </row>
    <row r="520">
      <c r="B520" s="194"/>
    </row>
    <row r="521">
      <c r="B521" s="194"/>
    </row>
    <row r="522">
      <c r="B522" s="194"/>
    </row>
    <row r="523">
      <c r="B523" s="194"/>
    </row>
    <row r="524">
      <c r="B524" s="194"/>
    </row>
    <row r="525">
      <c r="B525" s="194"/>
    </row>
    <row r="526">
      <c r="B526" s="194"/>
    </row>
    <row r="527">
      <c r="B527" s="194"/>
    </row>
    <row r="528">
      <c r="B528" s="194"/>
    </row>
    <row r="529">
      <c r="B529" s="194"/>
    </row>
    <row r="530">
      <c r="B530" s="194"/>
    </row>
    <row r="531">
      <c r="B531" s="194"/>
    </row>
    <row r="532">
      <c r="B532" s="194"/>
    </row>
    <row r="533">
      <c r="B533" s="194"/>
    </row>
    <row r="534">
      <c r="B534" s="194"/>
    </row>
    <row r="535">
      <c r="B535" s="194"/>
    </row>
    <row r="536">
      <c r="B536" s="194"/>
    </row>
    <row r="537">
      <c r="B537" s="194"/>
    </row>
    <row r="538">
      <c r="B538" s="194"/>
    </row>
    <row r="539">
      <c r="B539" s="194"/>
    </row>
    <row r="540">
      <c r="B540" s="194"/>
    </row>
    <row r="541">
      <c r="B541" s="194"/>
    </row>
    <row r="542">
      <c r="B542" s="194"/>
    </row>
    <row r="543">
      <c r="B543" s="194"/>
    </row>
    <row r="544">
      <c r="B544" s="194"/>
    </row>
    <row r="545">
      <c r="B545" s="194"/>
    </row>
    <row r="546">
      <c r="B546" s="194"/>
    </row>
    <row r="547">
      <c r="B547" s="194"/>
    </row>
    <row r="548">
      <c r="B548" s="194"/>
    </row>
    <row r="549">
      <c r="B549" s="194"/>
    </row>
    <row r="550">
      <c r="B550" s="194"/>
    </row>
    <row r="551">
      <c r="B551" s="194"/>
    </row>
    <row r="552">
      <c r="B552" s="194"/>
    </row>
    <row r="553">
      <c r="B553" s="194"/>
    </row>
    <row r="554">
      <c r="B554" s="194"/>
    </row>
    <row r="555">
      <c r="B555" s="194"/>
    </row>
    <row r="556">
      <c r="B556" s="194"/>
    </row>
    <row r="557">
      <c r="B557" s="194"/>
    </row>
    <row r="558">
      <c r="B558" s="194"/>
    </row>
    <row r="559">
      <c r="B559" s="194"/>
    </row>
    <row r="560">
      <c r="B560" s="194"/>
    </row>
    <row r="561">
      <c r="B561" s="194"/>
    </row>
    <row r="562">
      <c r="B562" s="194"/>
    </row>
    <row r="563">
      <c r="B563" s="194"/>
    </row>
    <row r="564">
      <c r="B564" s="194"/>
    </row>
    <row r="565">
      <c r="B565" s="194"/>
    </row>
    <row r="566">
      <c r="B566" s="194"/>
    </row>
    <row r="567">
      <c r="B567" s="194"/>
    </row>
    <row r="568">
      <c r="B568" s="194"/>
    </row>
    <row r="569">
      <c r="B569" s="194"/>
    </row>
    <row r="570">
      <c r="B570" s="194"/>
    </row>
    <row r="571">
      <c r="B571" s="194"/>
    </row>
    <row r="572">
      <c r="B572" s="194"/>
    </row>
    <row r="573">
      <c r="B573" s="194"/>
    </row>
    <row r="574">
      <c r="B574" s="194"/>
    </row>
    <row r="575">
      <c r="B575" s="194"/>
    </row>
    <row r="576">
      <c r="B576" s="194"/>
    </row>
    <row r="577">
      <c r="B577" s="194"/>
    </row>
    <row r="578">
      <c r="B578" s="194"/>
    </row>
    <row r="579">
      <c r="B579" s="194"/>
    </row>
    <row r="580">
      <c r="B580" s="194"/>
    </row>
    <row r="581">
      <c r="B581" s="194"/>
    </row>
    <row r="582">
      <c r="B582" s="194"/>
    </row>
    <row r="583">
      <c r="B583" s="194"/>
    </row>
    <row r="584">
      <c r="B584" s="194"/>
    </row>
    <row r="585">
      <c r="B585" s="194"/>
    </row>
    <row r="586">
      <c r="B586" s="194"/>
    </row>
    <row r="587">
      <c r="B587" s="194"/>
    </row>
    <row r="588">
      <c r="B588" s="194"/>
    </row>
    <row r="589">
      <c r="B589" s="194"/>
    </row>
    <row r="590">
      <c r="B590" s="194"/>
    </row>
    <row r="591">
      <c r="B591" s="194"/>
    </row>
    <row r="592">
      <c r="B592" s="194"/>
    </row>
    <row r="593">
      <c r="B593" s="194"/>
    </row>
    <row r="594">
      <c r="B594" s="194"/>
    </row>
    <row r="595">
      <c r="B595" s="194"/>
    </row>
    <row r="596">
      <c r="B596" s="194"/>
    </row>
    <row r="597">
      <c r="B597" s="194"/>
    </row>
    <row r="598">
      <c r="B598" s="194"/>
    </row>
    <row r="599">
      <c r="B599" s="194"/>
    </row>
    <row r="600">
      <c r="B600" s="194"/>
    </row>
    <row r="601">
      <c r="B601" s="194"/>
    </row>
    <row r="602">
      <c r="B602" s="194"/>
    </row>
    <row r="603">
      <c r="B603" s="194"/>
    </row>
    <row r="604">
      <c r="B604" s="194"/>
    </row>
    <row r="605">
      <c r="B605" s="194"/>
    </row>
    <row r="606">
      <c r="B606" s="194"/>
    </row>
    <row r="607">
      <c r="B607" s="194"/>
    </row>
    <row r="608">
      <c r="B608" s="194"/>
    </row>
    <row r="609">
      <c r="B609" s="194"/>
    </row>
    <row r="610">
      <c r="B610" s="194"/>
    </row>
    <row r="611">
      <c r="B611" s="194"/>
    </row>
    <row r="612">
      <c r="B612" s="194"/>
    </row>
    <row r="613">
      <c r="B613" s="194"/>
    </row>
    <row r="614">
      <c r="B614" s="194"/>
    </row>
    <row r="615">
      <c r="B615" s="194"/>
    </row>
    <row r="616">
      <c r="B616" s="194"/>
    </row>
    <row r="617">
      <c r="B617" s="194"/>
    </row>
    <row r="618">
      <c r="B618" s="194"/>
    </row>
    <row r="619">
      <c r="B619" s="194"/>
    </row>
    <row r="620">
      <c r="B620" s="194"/>
    </row>
    <row r="621">
      <c r="B621" s="194"/>
    </row>
    <row r="622">
      <c r="B622" s="194"/>
    </row>
    <row r="623">
      <c r="B623" s="194"/>
    </row>
    <row r="624">
      <c r="B624" s="194"/>
    </row>
    <row r="625">
      <c r="B625" s="194"/>
    </row>
    <row r="626">
      <c r="B626" s="194"/>
    </row>
    <row r="627">
      <c r="B627" s="194"/>
    </row>
    <row r="628">
      <c r="B628" s="194"/>
    </row>
    <row r="629">
      <c r="B629" s="194"/>
    </row>
    <row r="630">
      <c r="B630" s="194"/>
    </row>
    <row r="631">
      <c r="B631" s="194"/>
    </row>
    <row r="632">
      <c r="B632" s="194"/>
    </row>
    <row r="633">
      <c r="B633" s="194"/>
    </row>
    <row r="634">
      <c r="B634" s="194"/>
    </row>
    <row r="635">
      <c r="B635" s="194"/>
    </row>
    <row r="636">
      <c r="B636" s="194"/>
    </row>
    <row r="637">
      <c r="B637" s="194"/>
    </row>
    <row r="638">
      <c r="B638" s="194"/>
    </row>
    <row r="639">
      <c r="B639" s="194"/>
    </row>
    <row r="640">
      <c r="B640" s="194"/>
    </row>
    <row r="641">
      <c r="B641" s="194"/>
    </row>
    <row r="642">
      <c r="B642" s="194"/>
    </row>
    <row r="643">
      <c r="B643" s="194"/>
    </row>
    <row r="644">
      <c r="B644" s="194"/>
    </row>
    <row r="645">
      <c r="B645" s="194"/>
    </row>
    <row r="646">
      <c r="B646" s="194"/>
    </row>
    <row r="647">
      <c r="B647" s="194"/>
    </row>
    <row r="648">
      <c r="B648" s="194"/>
    </row>
    <row r="649">
      <c r="B649" s="194"/>
    </row>
    <row r="650">
      <c r="B650" s="194"/>
    </row>
    <row r="651">
      <c r="B651" s="194"/>
    </row>
    <row r="652">
      <c r="B652" s="194"/>
    </row>
    <row r="653">
      <c r="B653" s="194"/>
    </row>
    <row r="654">
      <c r="B654" s="194"/>
    </row>
    <row r="655">
      <c r="B655" s="194"/>
    </row>
    <row r="656">
      <c r="B656" s="194"/>
    </row>
    <row r="657">
      <c r="B657" s="194"/>
    </row>
    <row r="658">
      <c r="B658" s="194"/>
    </row>
    <row r="659">
      <c r="B659" s="194"/>
    </row>
    <row r="660">
      <c r="B660" s="194"/>
    </row>
    <row r="661">
      <c r="B661" s="194"/>
    </row>
    <row r="662">
      <c r="B662" s="194"/>
    </row>
    <row r="663">
      <c r="B663" s="194"/>
    </row>
    <row r="664">
      <c r="B664" s="194"/>
    </row>
    <row r="665">
      <c r="B665" s="194"/>
    </row>
    <row r="666">
      <c r="B666" s="194"/>
    </row>
    <row r="667">
      <c r="B667" s="194"/>
    </row>
    <row r="668">
      <c r="B668" s="194"/>
    </row>
    <row r="669">
      <c r="B669" s="194"/>
    </row>
    <row r="670">
      <c r="B670" s="194"/>
    </row>
    <row r="671">
      <c r="B671" s="194"/>
    </row>
    <row r="672">
      <c r="B672" s="194"/>
    </row>
    <row r="673">
      <c r="B673" s="194"/>
    </row>
    <row r="674">
      <c r="B674" s="194"/>
    </row>
    <row r="675">
      <c r="B675" s="194"/>
    </row>
    <row r="676">
      <c r="B676" s="194"/>
    </row>
    <row r="677">
      <c r="B677" s="194"/>
    </row>
    <row r="678">
      <c r="B678" s="194"/>
    </row>
    <row r="679">
      <c r="B679" s="194"/>
    </row>
    <row r="680">
      <c r="B680" s="194"/>
    </row>
    <row r="681">
      <c r="B681" s="194"/>
    </row>
    <row r="682">
      <c r="B682" s="194"/>
    </row>
    <row r="683">
      <c r="B683" s="194"/>
    </row>
    <row r="684">
      <c r="B684" s="194"/>
    </row>
    <row r="685">
      <c r="B685" s="194"/>
    </row>
    <row r="686">
      <c r="B686" s="194"/>
    </row>
    <row r="687">
      <c r="B687" s="194"/>
    </row>
    <row r="688">
      <c r="B688" s="194"/>
    </row>
    <row r="689">
      <c r="B689" s="194"/>
    </row>
    <row r="690">
      <c r="B690" s="194"/>
    </row>
    <row r="691">
      <c r="B691" s="194"/>
    </row>
    <row r="692">
      <c r="B692" s="194"/>
    </row>
    <row r="693">
      <c r="B693" s="194"/>
    </row>
    <row r="694">
      <c r="B694" s="194"/>
    </row>
    <row r="695">
      <c r="B695" s="194"/>
    </row>
    <row r="696">
      <c r="B696" s="194"/>
    </row>
    <row r="697">
      <c r="B697" s="194"/>
    </row>
    <row r="698">
      <c r="B698" s="194"/>
    </row>
    <row r="699">
      <c r="B699" s="194"/>
    </row>
    <row r="700">
      <c r="B700" s="194"/>
    </row>
    <row r="701">
      <c r="B701" s="194"/>
    </row>
    <row r="702">
      <c r="B702" s="194"/>
    </row>
    <row r="703">
      <c r="B703" s="194"/>
    </row>
    <row r="704">
      <c r="B704" s="194"/>
    </row>
    <row r="705">
      <c r="B705" s="194"/>
    </row>
    <row r="706">
      <c r="B706" s="194"/>
    </row>
    <row r="707">
      <c r="B707" s="194"/>
    </row>
    <row r="708">
      <c r="B708" s="194"/>
    </row>
    <row r="709">
      <c r="B709" s="194"/>
    </row>
    <row r="710">
      <c r="B710" s="194"/>
    </row>
    <row r="711">
      <c r="B711" s="194"/>
    </row>
    <row r="712">
      <c r="B712" s="194"/>
    </row>
    <row r="713">
      <c r="B713" s="194"/>
    </row>
    <row r="714">
      <c r="B714" s="194"/>
    </row>
    <row r="715">
      <c r="B715" s="194"/>
    </row>
    <row r="716">
      <c r="B716" s="194"/>
    </row>
    <row r="717">
      <c r="B717" s="194"/>
    </row>
    <row r="718">
      <c r="B718" s="194"/>
    </row>
    <row r="719">
      <c r="B719" s="194"/>
    </row>
    <row r="720">
      <c r="B720" s="194"/>
    </row>
    <row r="721">
      <c r="B721" s="194"/>
    </row>
    <row r="722">
      <c r="B722" s="194"/>
    </row>
    <row r="723">
      <c r="B723" s="194"/>
    </row>
    <row r="724">
      <c r="B724" s="194"/>
    </row>
    <row r="725">
      <c r="B725" s="194"/>
    </row>
    <row r="726">
      <c r="B726" s="194"/>
    </row>
    <row r="727">
      <c r="B727" s="194"/>
    </row>
    <row r="728">
      <c r="B728" s="194"/>
    </row>
    <row r="729">
      <c r="B729" s="194"/>
    </row>
    <row r="730">
      <c r="B730" s="194"/>
    </row>
    <row r="731">
      <c r="B731" s="194"/>
    </row>
    <row r="732">
      <c r="B732" s="194"/>
    </row>
    <row r="733">
      <c r="B733" s="194"/>
    </row>
    <row r="734">
      <c r="B734" s="194"/>
    </row>
    <row r="735">
      <c r="B735" s="194"/>
    </row>
    <row r="736">
      <c r="B736" s="194"/>
    </row>
    <row r="737">
      <c r="B737" s="194"/>
    </row>
    <row r="738">
      <c r="B738" s="194"/>
    </row>
    <row r="739">
      <c r="B739" s="194"/>
    </row>
    <row r="740">
      <c r="B740" s="194"/>
    </row>
    <row r="741">
      <c r="B741" s="194"/>
    </row>
    <row r="742">
      <c r="B742" s="194"/>
    </row>
    <row r="743">
      <c r="B743" s="194"/>
    </row>
    <row r="744">
      <c r="B744" s="194"/>
    </row>
    <row r="745">
      <c r="B745" s="194"/>
    </row>
    <row r="746">
      <c r="B746" s="194"/>
    </row>
    <row r="747">
      <c r="B747" s="194"/>
    </row>
    <row r="748">
      <c r="B748" s="194"/>
    </row>
    <row r="749">
      <c r="B749" s="194"/>
    </row>
    <row r="750">
      <c r="B750" s="194"/>
    </row>
    <row r="751">
      <c r="B751" s="194"/>
    </row>
    <row r="752">
      <c r="B752" s="194"/>
    </row>
    <row r="753">
      <c r="B753" s="194"/>
    </row>
    <row r="754">
      <c r="B754" s="194"/>
    </row>
    <row r="755">
      <c r="B755" s="194"/>
    </row>
    <row r="756">
      <c r="B756" s="194"/>
    </row>
    <row r="757">
      <c r="B757" s="194"/>
    </row>
    <row r="758">
      <c r="B758" s="194"/>
    </row>
    <row r="759">
      <c r="B759" s="194"/>
    </row>
    <row r="760">
      <c r="B760" s="194"/>
    </row>
    <row r="761">
      <c r="B761" s="194"/>
    </row>
    <row r="762">
      <c r="B762" s="194"/>
    </row>
    <row r="763">
      <c r="B763" s="194"/>
    </row>
    <row r="764">
      <c r="B764" s="194"/>
    </row>
    <row r="765">
      <c r="B765" s="194"/>
    </row>
    <row r="766">
      <c r="B766" s="194"/>
    </row>
    <row r="767">
      <c r="B767" s="194"/>
    </row>
    <row r="768">
      <c r="B768" s="194"/>
    </row>
    <row r="769">
      <c r="B769" s="194"/>
    </row>
    <row r="770">
      <c r="B770" s="194"/>
    </row>
    <row r="771">
      <c r="B771" s="194"/>
    </row>
    <row r="772">
      <c r="B772" s="194"/>
    </row>
    <row r="773">
      <c r="B773" s="194"/>
    </row>
    <row r="774">
      <c r="B774" s="194"/>
    </row>
    <row r="775">
      <c r="B775" s="194"/>
    </row>
    <row r="776">
      <c r="B776" s="194"/>
    </row>
    <row r="777">
      <c r="B777" s="194"/>
    </row>
    <row r="778">
      <c r="B778" s="194"/>
    </row>
    <row r="779">
      <c r="B779" s="194"/>
    </row>
    <row r="780">
      <c r="B780" s="194"/>
    </row>
    <row r="781">
      <c r="B781" s="194"/>
    </row>
    <row r="782">
      <c r="B782" s="194"/>
    </row>
    <row r="783">
      <c r="B783" s="194"/>
    </row>
    <row r="784">
      <c r="B784" s="194"/>
    </row>
    <row r="785">
      <c r="B785" s="194"/>
    </row>
    <row r="786">
      <c r="B786" s="194"/>
    </row>
    <row r="787">
      <c r="B787" s="194"/>
    </row>
    <row r="788">
      <c r="B788" s="194"/>
    </row>
    <row r="789">
      <c r="B789" s="194"/>
    </row>
    <row r="790">
      <c r="B790" s="194"/>
    </row>
    <row r="791">
      <c r="B791" s="194"/>
    </row>
    <row r="792">
      <c r="B792" s="194"/>
    </row>
    <row r="793">
      <c r="B793" s="194"/>
    </row>
    <row r="794">
      <c r="B794" s="194"/>
    </row>
    <row r="795">
      <c r="B795" s="194"/>
    </row>
    <row r="796">
      <c r="B796" s="194"/>
    </row>
    <row r="797">
      <c r="B797" s="194"/>
    </row>
    <row r="798">
      <c r="B798" s="194"/>
    </row>
    <row r="799">
      <c r="B799" s="194"/>
    </row>
    <row r="800">
      <c r="B800" s="194"/>
    </row>
    <row r="801">
      <c r="B801" s="194"/>
    </row>
    <row r="802">
      <c r="B802" s="194"/>
    </row>
    <row r="803">
      <c r="B803" s="194"/>
    </row>
    <row r="804">
      <c r="B804" s="194"/>
    </row>
    <row r="805">
      <c r="B805" s="194"/>
    </row>
    <row r="806">
      <c r="B806" s="194"/>
    </row>
    <row r="807">
      <c r="B807" s="194"/>
    </row>
    <row r="808">
      <c r="B808" s="194"/>
    </row>
    <row r="809">
      <c r="B809" s="194"/>
    </row>
    <row r="810">
      <c r="B810" s="194"/>
    </row>
    <row r="811">
      <c r="B811" s="194"/>
    </row>
    <row r="812">
      <c r="B812" s="194"/>
    </row>
    <row r="813">
      <c r="B813" s="194"/>
    </row>
    <row r="814">
      <c r="B814" s="194"/>
    </row>
    <row r="815">
      <c r="B815" s="194"/>
    </row>
    <row r="816">
      <c r="B816" s="194"/>
    </row>
    <row r="817">
      <c r="B817" s="194"/>
    </row>
    <row r="818">
      <c r="B818" s="194"/>
    </row>
    <row r="819">
      <c r="B819" s="194"/>
    </row>
    <row r="820">
      <c r="B820" s="194"/>
    </row>
    <row r="821">
      <c r="B821" s="194"/>
    </row>
    <row r="822">
      <c r="B822" s="194"/>
    </row>
    <row r="823">
      <c r="B823" s="194"/>
    </row>
    <row r="824">
      <c r="B824" s="194"/>
    </row>
    <row r="825">
      <c r="B825" s="194"/>
    </row>
    <row r="826">
      <c r="B826" s="194"/>
    </row>
    <row r="827">
      <c r="B827" s="194"/>
    </row>
    <row r="828">
      <c r="B828" s="194"/>
    </row>
    <row r="829">
      <c r="B829" s="194"/>
    </row>
    <row r="830">
      <c r="B830" s="194"/>
    </row>
    <row r="831">
      <c r="B831" s="194"/>
    </row>
    <row r="832">
      <c r="B832" s="194"/>
    </row>
    <row r="833">
      <c r="B833" s="194"/>
    </row>
    <row r="834">
      <c r="B834" s="194"/>
    </row>
    <row r="835">
      <c r="B835" s="194"/>
    </row>
    <row r="836">
      <c r="B836" s="194"/>
    </row>
    <row r="837">
      <c r="B837" s="194"/>
    </row>
    <row r="838">
      <c r="B838" s="194"/>
    </row>
    <row r="839">
      <c r="B839" s="194"/>
    </row>
    <row r="840">
      <c r="B840" s="194"/>
    </row>
    <row r="841">
      <c r="B841" s="194"/>
    </row>
    <row r="842">
      <c r="B842" s="194"/>
    </row>
    <row r="843">
      <c r="B843" s="194"/>
    </row>
    <row r="844">
      <c r="B844" s="194"/>
    </row>
    <row r="845">
      <c r="B845" s="194"/>
    </row>
    <row r="846">
      <c r="B846" s="194"/>
    </row>
    <row r="847">
      <c r="B847" s="194"/>
    </row>
    <row r="848">
      <c r="B848" s="194"/>
    </row>
    <row r="849">
      <c r="B849" s="194"/>
    </row>
    <row r="850">
      <c r="B850" s="194"/>
    </row>
    <row r="851">
      <c r="B851" s="194"/>
    </row>
    <row r="852">
      <c r="B852" s="194"/>
    </row>
    <row r="853">
      <c r="B853" s="194"/>
    </row>
    <row r="854">
      <c r="B854" s="194"/>
    </row>
    <row r="855">
      <c r="B855" s="194"/>
    </row>
    <row r="856">
      <c r="B856" s="194"/>
    </row>
    <row r="857">
      <c r="B857" s="194"/>
    </row>
    <row r="858">
      <c r="B858" s="194"/>
    </row>
    <row r="859">
      <c r="B859" s="194"/>
    </row>
    <row r="860">
      <c r="B860" s="194"/>
    </row>
    <row r="861">
      <c r="B861" s="194"/>
    </row>
    <row r="862">
      <c r="B862" s="194"/>
    </row>
    <row r="863">
      <c r="B863" s="194"/>
    </row>
    <row r="864">
      <c r="B864" s="194"/>
    </row>
    <row r="865">
      <c r="B865" s="194"/>
    </row>
    <row r="866">
      <c r="B866" s="194"/>
    </row>
    <row r="867">
      <c r="B867" s="194"/>
    </row>
    <row r="868">
      <c r="B868" s="194"/>
    </row>
    <row r="869">
      <c r="B869" s="194"/>
    </row>
    <row r="870">
      <c r="B870" s="194"/>
    </row>
    <row r="871">
      <c r="B871" s="194"/>
    </row>
    <row r="872">
      <c r="B872" s="194"/>
    </row>
    <row r="873">
      <c r="B873" s="194"/>
    </row>
    <row r="874">
      <c r="B874" s="194"/>
    </row>
    <row r="875">
      <c r="B875" s="194"/>
    </row>
    <row r="876">
      <c r="B876" s="194"/>
    </row>
    <row r="877">
      <c r="B877" s="194"/>
    </row>
    <row r="878">
      <c r="B878" s="194"/>
    </row>
    <row r="879">
      <c r="B879" s="194"/>
    </row>
    <row r="880">
      <c r="B880" s="194"/>
    </row>
    <row r="881">
      <c r="B881" s="194"/>
    </row>
    <row r="882">
      <c r="B882" s="194"/>
    </row>
    <row r="883">
      <c r="B883" s="194"/>
    </row>
    <row r="884">
      <c r="B884" s="194"/>
    </row>
    <row r="885">
      <c r="B885" s="194"/>
    </row>
    <row r="886">
      <c r="B886" s="194"/>
    </row>
    <row r="887">
      <c r="B887" s="194"/>
    </row>
    <row r="888">
      <c r="B888" s="194"/>
    </row>
    <row r="889">
      <c r="B889" s="194"/>
    </row>
    <row r="890">
      <c r="B890" s="194"/>
    </row>
    <row r="891">
      <c r="B891" s="194"/>
    </row>
    <row r="892">
      <c r="B892" s="194"/>
    </row>
    <row r="893">
      <c r="B893" s="194"/>
    </row>
    <row r="894">
      <c r="B894" s="194"/>
    </row>
    <row r="895">
      <c r="B895" s="194"/>
    </row>
    <row r="896">
      <c r="B896" s="194"/>
    </row>
    <row r="897">
      <c r="B897" s="194"/>
    </row>
    <row r="898">
      <c r="B898" s="194"/>
    </row>
    <row r="899">
      <c r="B899" s="194"/>
    </row>
    <row r="900">
      <c r="B900" s="194"/>
    </row>
    <row r="901">
      <c r="B901" s="194"/>
    </row>
    <row r="902">
      <c r="B902" s="194"/>
    </row>
    <row r="903">
      <c r="B903" s="194"/>
    </row>
    <row r="904">
      <c r="B904" s="194"/>
    </row>
    <row r="905">
      <c r="B905" s="194"/>
    </row>
    <row r="906">
      <c r="B906" s="194"/>
    </row>
    <row r="907">
      <c r="B907" s="194"/>
    </row>
    <row r="908">
      <c r="B908" s="194"/>
    </row>
    <row r="909">
      <c r="B909" s="194"/>
    </row>
    <row r="910">
      <c r="B910" s="194"/>
    </row>
    <row r="911">
      <c r="B911" s="194"/>
    </row>
    <row r="912">
      <c r="B912" s="194"/>
    </row>
    <row r="913">
      <c r="B913" s="194"/>
    </row>
    <row r="914">
      <c r="B914" s="194"/>
    </row>
    <row r="915">
      <c r="B915" s="194"/>
    </row>
    <row r="916">
      <c r="B916" s="194"/>
    </row>
    <row r="917">
      <c r="B917" s="194"/>
    </row>
    <row r="918">
      <c r="B918" s="194"/>
    </row>
    <row r="919">
      <c r="B919" s="194"/>
    </row>
    <row r="920">
      <c r="B920" s="194"/>
    </row>
    <row r="921">
      <c r="B921" s="194"/>
    </row>
    <row r="922">
      <c r="B922" s="194"/>
    </row>
    <row r="923">
      <c r="B923" s="194"/>
    </row>
    <row r="924">
      <c r="B924" s="194"/>
    </row>
    <row r="925">
      <c r="B925" s="194"/>
    </row>
    <row r="926">
      <c r="B926" s="194"/>
    </row>
    <row r="927">
      <c r="B927" s="194"/>
    </row>
    <row r="928">
      <c r="B928" s="194"/>
    </row>
    <row r="929">
      <c r="B929" s="194"/>
    </row>
    <row r="930">
      <c r="B930" s="194"/>
    </row>
    <row r="931">
      <c r="B931" s="194"/>
    </row>
    <row r="932">
      <c r="B932" s="194"/>
    </row>
    <row r="933">
      <c r="B933" s="194"/>
    </row>
    <row r="934">
      <c r="B934" s="194"/>
    </row>
    <row r="935">
      <c r="B935" s="194"/>
    </row>
    <row r="936">
      <c r="B936" s="194"/>
    </row>
    <row r="937">
      <c r="B937" s="194"/>
    </row>
    <row r="938">
      <c r="B938" s="194"/>
    </row>
    <row r="939">
      <c r="B939" s="194"/>
    </row>
    <row r="940">
      <c r="B940" s="194"/>
    </row>
    <row r="941">
      <c r="B941" s="194"/>
    </row>
    <row r="942">
      <c r="B942" s="194"/>
    </row>
    <row r="943">
      <c r="B943" s="194"/>
    </row>
    <row r="944">
      <c r="B944" s="194"/>
    </row>
    <row r="945">
      <c r="B945" s="194"/>
    </row>
    <row r="946">
      <c r="B946" s="194"/>
    </row>
    <row r="947">
      <c r="B947" s="194"/>
    </row>
    <row r="948">
      <c r="B948" s="194"/>
    </row>
    <row r="949">
      <c r="B949" s="194"/>
    </row>
    <row r="950">
      <c r="B950" s="194"/>
    </row>
    <row r="951">
      <c r="B951" s="194"/>
    </row>
    <row r="952">
      <c r="B952" s="194"/>
    </row>
    <row r="953">
      <c r="B953" s="194"/>
    </row>
    <row r="954">
      <c r="B954" s="194"/>
    </row>
    <row r="955">
      <c r="B955" s="194"/>
    </row>
    <row r="956">
      <c r="B956" s="194"/>
    </row>
    <row r="957">
      <c r="B957" s="194"/>
    </row>
    <row r="958">
      <c r="B958" s="194"/>
    </row>
    <row r="959">
      <c r="B959" s="194"/>
    </row>
    <row r="960">
      <c r="B960" s="194"/>
    </row>
    <row r="961">
      <c r="B961" s="194"/>
    </row>
    <row r="962">
      <c r="B962" s="194"/>
    </row>
    <row r="963">
      <c r="B963" s="194"/>
    </row>
    <row r="964">
      <c r="B964" s="194"/>
    </row>
    <row r="965">
      <c r="B965" s="194"/>
    </row>
    <row r="966">
      <c r="B966" s="194"/>
    </row>
    <row r="967">
      <c r="B967" s="194"/>
    </row>
    <row r="968">
      <c r="B968" s="194"/>
    </row>
    <row r="969">
      <c r="B969" s="194"/>
    </row>
    <row r="970">
      <c r="B970" s="194"/>
    </row>
    <row r="971">
      <c r="B971" s="194"/>
    </row>
    <row r="972">
      <c r="B972" s="194"/>
    </row>
    <row r="973">
      <c r="B973" s="194"/>
    </row>
    <row r="974">
      <c r="B974" s="194"/>
    </row>
    <row r="975">
      <c r="B975" s="194"/>
    </row>
    <row r="976">
      <c r="B976" s="194"/>
    </row>
    <row r="977">
      <c r="B977" s="194"/>
    </row>
    <row r="978">
      <c r="B978" s="194"/>
    </row>
    <row r="979">
      <c r="B979" s="194"/>
    </row>
    <row r="980">
      <c r="B980" s="194"/>
    </row>
    <row r="981">
      <c r="B981" s="194"/>
    </row>
    <row r="982">
      <c r="B982" s="194"/>
    </row>
    <row r="983">
      <c r="B983" s="194"/>
    </row>
    <row r="984">
      <c r="B984" s="194"/>
    </row>
    <row r="985">
      <c r="B985" s="194"/>
    </row>
    <row r="986">
      <c r="B986" s="194"/>
    </row>
    <row r="987">
      <c r="B987" s="194"/>
    </row>
    <row r="988">
      <c r="B988" s="194"/>
    </row>
    <row r="989">
      <c r="B989" s="194"/>
    </row>
    <row r="990">
      <c r="B990" s="194"/>
    </row>
    <row r="991">
      <c r="B991" s="194"/>
    </row>
    <row r="992">
      <c r="B992" s="194"/>
    </row>
    <row r="993">
      <c r="B993" s="194"/>
    </row>
    <row r="994">
      <c r="B994" s="194"/>
    </row>
    <row r="995">
      <c r="B995" s="194"/>
    </row>
    <row r="996">
      <c r="B996" s="194"/>
    </row>
    <row r="997">
      <c r="B997" s="194"/>
    </row>
    <row r="998">
      <c r="B998" s="194"/>
    </row>
  </sheetData>
  <mergeCells count="13">
    <mergeCell ref="K1:M1"/>
    <mergeCell ref="K2:M2"/>
    <mergeCell ref="N2:R2"/>
    <mergeCell ref="S2:W2"/>
    <mergeCell ref="AB2:AG2"/>
    <mergeCell ref="AH2:AM2"/>
    <mergeCell ref="A1:B2"/>
    <mergeCell ref="E1:I1"/>
    <mergeCell ref="N1:R1"/>
    <mergeCell ref="S1:W1"/>
    <mergeCell ref="AB1:AG1"/>
    <mergeCell ref="AH1:AM1"/>
    <mergeCell ref="E2:I2"/>
  </mergeCells>
  <hyperlinks>
    <hyperlink r:id="rId1" ref="A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4.5"/>
    <col customWidth="1" min="3" max="3" width="16.38"/>
    <col customWidth="1" min="4" max="4" width="17.13"/>
    <col customWidth="1" hidden="1" min="10" max="10" width="11.25"/>
    <col customWidth="1" min="11" max="11" width="8.5"/>
    <col customWidth="1" min="12" max="12" width="10.5"/>
    <col customWidth="1" min="28" max="28" width="13.75"/>
  </cols>
  <sheetData>
    <row r="1">
      <c r="A1" s="1" t="s">
        <v>91</v>
      </c>
      <c r="B1" s="82"/>
      <c r="C1" s="2"/>
      <c r="D1" s="3"/>
      <c r="E1" s="4">
        <v>45803.0</v>
      </c>
      <c r="F1" s="5"/>
      <c r="G1" s="5"/>
      <c r="H1" s="5"/>
      <c r="I1" s="5"/>
      <c r="J1" s="5"/>
      <c r="K1" s="6"/>
      <c r="L1" s="195"/>
      <c r="M1" s="4">
        <v>45897.0</v>
      </c>
      <c r="N1" s="5"/>
      <c r="O1" s="5"/>
      <c r="P1" s="5"/>
      <c r="Q1" s="5"/>
      <c r="R1" s="6"/>
      <c r="S1" s="4">
        <v>45992.0</v>
      </c>
      <c r="T1" s="5"/>
      <c r="U1" s="5"/>
      <c r="V1" s="5"/>
      <c r="W1" s="5"/>
      <c r="X1" s="6"/>
      <c r="Y1" s="7">
        <v>46048.0</v>
      </c>
      <c r="Z1" s="8"/>
      <c r="AA1" s="8"/>
      <c r="AB1" s="8"/>
      <c r="AC1" s="8"/>
      <c r="AD1" s="9"/>
      <c r="AE1" s="10"/>
      <c r="AF1" s="11"/>
      <c r="AG1" s="11"/>
      <c r="AH1" s="11"/>
      <c r="AI1" s="11"/>
      <c r="AJ1" s="12"/>
      <c r="AK1" s="10">
        <v>45962.0</v>
      </c>
      <c r="AL1" s="11"/>
      <c r="AM1" s="11"/>
      <c r="AN1" s="11"/>
      <c r="AO1" s="11"/>
      <c r="AP1" s="12"/>
    </row>
    <row r="2">
      <c r="A2" s="84"/>
      <c r="B2" s="17"/>
      <c r="C2" s="14"/>
      <c r="D2" s="15"/>
      <c r="E2" s="16" t="s">
        <v>1</v>
      </c>
      <c r="F2" s="17"/>
      <c r="G2" s="17"/>
      <c r="H2" s="17"/>
      <c r="I2" s="17"/>
      <c r="J2" s="17"/>
      <c r="K2" s="18"/>
      <c r="L2" s="24"/>
      <c r="M2" s="16"/>
      <c r="N2" s="17"/>
      <c r="O2" s="17"/>
      <c r="P2" s="17"/>
      <c r="Q2" s="17"/>
      <c r="R2" s="18"/>
      <c r="S2" s="16" t="s">
        <v>1</v>
      </c>
      <c r="T2" s="17"/>
      <c r="U2" s="17"/>
      <c r="V2" s="17"/>
      <c r="W2" s="17"/>
      <c r="X2" s="18"/>
      <c r="Y2" s="16" t="s">
        <v>1</v>
      </c>
      <c r="Z2" s="17"/>
      <c r="AA2" s="17"/>
      <c r="AB2" s="17"/>
      <c r="AC2" s="17"/>
      <c r="AD2" s="19"/>
      <c r="AE2" s="20" t="s">
        <v>1</v>
      </c>
      <c r="AF2" s="21"/>
      <c r="AG2" s="21"/>
      <c r="AH2" s="21"/>
      <c r="AI2" s="21"/>
      <c r="AJ2" s="22"/>
      <c r="AK2" s="20" t="s">
        <v>1</v>
      </c>
      <c r="AL2" s="21"/>
      <c r="AM2" s="21"/>
      <c r="AN2" s="21"/>
      <c r="AO2" s="21"/>
      <c r="AP2" s="22"/>
    </row>
    <row r="3">
      <c r="A3" s="23" t="s">
        <v>2</v>
      </c>
      <c r="B3" s="173" t="s">
        <v>3</v>
      </c>
      <c r="C3" s="24" t="s">
        <v>4</v>
      </c>
      <c r="D3" s="24" t="s">
        <v>5</v>
      </c>
      <c r="E3" s="24" t="s">
        <v>9</v>
      </c>
      <c r="F3" s="24" t="s">
        <v>482</v>
      </c>
      <c r="G3" s="24" t="s">
        <v>483</v>
      </c>
      <c r="H3" s="25" t="s">
        <v>484</v>
      </c>
      <c r="I3" s="25" t="s">
        <v>485</v>
      </c>
      <c r="J3" s="24"/>
      <c r="K3" s="215" t="s">
        <v>486</v>
      </c>
      <c r="L3" s="25"/>
      <c r="M3" s="25" t="s">
        <v>487</v>
      </c>
      <c r="N3" s="25" t="s">
        <v>488</v>
      </c>
      <c r="O3" s="25" t="s">
        <v>489</v>
      </c>
      <c r="P3" s="25" t="s">
        <v>490</v>
      </c>
      <c r="Q3" s="25" t="s">
        <v>491</v>
      </c>
      <c r="R3" s="216" t="s">
        <v>492</v>
      </c>
      <c r="S3" s="25" t="s">
        <v>493</v>
      </c>
      <c r="T3" s="25" t="s">
        <v>494</v>
      </c>
      <c r="U3" s="25" t="s">
        <v>495</v>
      </c>
      <c r="V3" s="25" t="s">
        <v>496</v>
      </c>
      <c r="W3" s="216" t="s">
        <v>497</v>
      </c>
      <c r="X3" s="25" t="s">
        <v>498</v>
      </c>
      <c r="Y3" s="25" t="s">
        <v>499</v>
      </c>
      <c r="Z3" s="25" t="s">
        <v>500</v>
      </c>
      <c r="AA3" s="25" t="s">
        <v>501</v>
      </c>
      <c r="AB3" s="25" t="s">
        <v>502</v>
      </c>
      <c r="AC3" s="216" t="s">
        <v>503</v>
      </c>
      <c r="AD3" s="217" t="s">
        <v>504</v>
      </c>
      <c r="AE3" s="27"/>
      <c r="AF3" s="27"/>
      <c r="AG3" s="27"/>
      <c r="AH3" s="27"/>
      <c r="AI3" s="28"/>
      <c r="AJ3" s="28"/>
      <c r="AK3" s="27" t="s">
        <v>24</v>
      </c>
      <c r="AL3" s="27" t="s">
        <v>25</v>
      </c>
      <c r="AM3" s="27" t="s">
        <v>26</v>
      </c>
      <c r="AN3" s="27" t="s">
        <v>27</v>
      </c>
      <c r="AO3" s="28" t="s">
        <v>28</v>
      </c>
      <c r="AP3" s="28" t="s">
        <v>29</v>
      </c>
    </row>
    <row r="4">
      <c r="A4" s="29"/>
      <c r="B4" s="174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108"/>
      <c r="O4" s="30"/>
      <c r="P4" s="30"/>
      <c r="Q4" s="30"/>
      <c r="R4" s="108"/>
      <c r="S4" s="31"/>
      <c r="T4" s="31"/>
      <c r="U4" s="31"/>
      <c r="V4" s="31"/>
      <c r="W4" s="31"/>
      <c r="X4" s="31"/>
      <c r="Y4" s="30"/>
      <c r="Z4" s="30"/>
      <c r="AA4" s="30"/>
      <c r="AB4" s="30"/>
      <c r="AC4" s="30"/>
      <c r="AD4" s="30"/>
      <c r="AE4" s="30"/>
      <c r="AF4" s="30"/>
      <c r="AG4" s="30"/>
      <c r="AH4" s="32"/>
      <c r="AI4" s="33"/>
      <c r="AJ4" s="33"/>
      <c r="AK4" s="30"/>
      <c r="AL4" s="30"/>
      <c r="AM4" s="30"/>
      <c r="AN4" s="32"/>
      <c r="AO4" s="33"/>
      <c r="AP4" s="33"/>
    </row>
    <row r="5">
      <c r="A5" s="39">
        <v>1.0</v>
      </c>
      <c r="B5" s="178" t="s">
        <v>106</v>
      </c>
      <c r="C5" s="48"/>
      <c r="D5" s="48"/>
      <c r="E5" s="39">
        <v>20.0</v>
      </c>
      <c r="F5" s="39">
        <v>20.0</v>
      </c>
      <c r="G5" s="39">
        <v>18.0</v>
      </c>
      <c r="H5" s="39">
        <v>18.0</v>
      </c>
      <c r="I5" s="39">
        <v>20.0</v>
      </c>
      <c r="J5" s="39"/>
      <c r="K5" s="39">
        <v>20.0</v>
      </c>
      <c r="L5" s="39"/>
      <c r="M5" s="39">
        <v>15.0</v>
      </c>
      <c r="N5" s="39">
        <v>29.0</v>
      </c>
      <c r="O5" s="39">
        <v>29.0</v>
      </c>
      <c r="P5" s="39"/>
      <c r="Q5" s="39"/>
      <c r="R5" s="39"/>
      <c r="S5" s="40">
        <v>24.0</v>
      </c>
      <c r="T5" s="40">
        <v>19.0</v>
      </c>
      <c r="U5" s="40">
        <v>22.0</v>
      </c>
      <c r="V5" s="40">
        <v>27.0</v>
      </c>
      <c r="W5" s="40">
        <v>18.0</v>
      </c>
      <c r="X5" s="40">
        <v>25.0</v>
      </c>
      <c r="Y5" s="40">
        <v>75.0</v>
      </c>
      <c r="Z5" s="40">
        <v>96.0</v>
      </c>
      <c r="AA5" s="40">
        <v>55.0</v>
      </c>
      <c r="AB5" s="40">
        <v>67.0</v>
      </c>
      <c r="AC5" s="40">
        <v>72.0</v>
      </c>
      <c r="AD5" s="40">
        <v>75.0</v>
      </c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</row>
    <row r="6">
      <c r="A6" s="39">
        <v>2.0</v>
      </c>
      <c r="B6" s="178" t="s">
        <v>505</v>
      </c>
      <c r="C6" s="48"/>
      <c r="D6" s="48"/>
      <c r="E6" s="39">
        <v>14.0</v>
      </c>
      <c r="F6" s="39">
        <v>17.0</v>
      </c>
      <c r="G6" s="39">
        <v>15.0</v>
      </c>
      <c r="H6" s="39">
        <v>10.0</v>
      </c>
      <c r="I6" s="39">
        <v>12.0</v>
      </c>
      <c r="J6" s="39"/>
      <c r="K6" s="39">
        <v>15.0</v>
      </c>
      <c r="L6" s="39"/>
      <c r="M6" s="41" t="s">
        <v>32</v>
      </c>
      <c r="N6" s="39">
        <v>19.0</v>
      </c>
      <c r="O6" s="39">
        <v>19.0</v>
      </c>
      <c r="P6" s="39"/>
      <c r="Q6" s="39"/>
      <c r="R6" s="39"/>
      <c r="S6" s="39">
        <v>14.0</v>
      </c>
      <c r="T6" s="39">
        <v>14.0</v>
      </c>
      <c r="U6" s="39">
        <v>19.0</v>
      </c>
      <c r="V6" s="41" t="s">
        <v>32</v>
      </c>
      <c r="W6" s="39">
        <v>17.0</v>
      </c>
      <c r="X6" s="39">
        <v>17.0</v>
      </c>
      <c r="Y6" s="40">
        <v>53.0</v>
      </c>
      <c r="Z6" s="40">
        <v>64.0</v>
      </c>
      <c r="AA6" s="40">
        <v>58.0</v>
      </c>
      <c r="AB6" s="40">
        <v>50.0</v>
      </c>
      <c r="AC6" s="40">
        <v>71.0</v>
      </c>
      <c r="AD6" s="40">
        <v>50.0</v>
      </c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</row>
    <row r="7">
      <c r="A7" s="39">
        <v>3.0</v>
      </c>
      <c r="B7" s="178" t="s">
        <v>506</v>
      </c>
      <c r="C7" s="48"/>
      <c r="D7" s="48"/>
      <c r="E7" s="39">
        <v>17.0</v>
      </c>
      <c r="F7" s="39">
        <v>17.0</v>
      </c>
      <c r="G7" s="39">
        <v>17.0</v>
      </c>
      <c r="H7" s="39">
        <v>18.0</v>
      </c>
      <c r="I7" s="39">
        <v>13.0</v>
      </c>
      <c r="J7" s="39"/>
      <c r="K7" s="39">
        <v>19.0</v>
      </c>
      <c r="L7" s="39"/>
      <c r="M7" s="39">
        <v>12.0</v>
      </c>
      <c r="N7" s="39">
        <v>25.0</v>
      </c>
      <c r="O7" s="39">
        <v>27.0</v>
      </c>
      <c r="P7" s="39"/>
      <c r="Q7" s="39"/>
      <c r="R7" s="39"/>
      <c r="S7" s="39">
        <v>23.0</v>
      </c>
      <c r="T7" s="39">
        <v>19.0</v>
      </c>
      <c r="U7" s="39">
        <v>22.0</v>
      </c>
      <c r="V7" s="39">
        <v>24.0</v>
      </c>
      <c r="W7" s="39">
        <v>18.0</v>
      </c>
      <c r="X7" s="39">
        <v>24.0</v>
      </c>
      <c r="Y7" s="40">
        <v>70.0</v>
      </c>
      <c r="Z7" s="40">
        <v>90.0</v>
      </c>
      <c r="AA7" s="40">
        <v>58.0</v>
      </c>
      <c r="AB7" s="40">
        <v>48.0</v>
      </c>
      <c r="AC7" s="40">
        <v>72.0</v>
      </c>
      <c r="AD7" s="40">
        <v>71.0</v>
      </c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</row>
    <row r="8">
      <c r="A8" s="39">
        <v>4.0</v>
      </c>
      <c r="B8" s="178" t="s">
        <v>507</v>
      </c>
      <c r="C8" s="48"/>
      <c r="D8" s="48"/>
      <c r="E8" s="39">
        <v>16.0</v>
      </c>
      <c r="F8" s="39">
        <v>15.0</v>
      </c>
      <c r="G8" s="39">
        <v>16.0</v>
      </c>
      <c r="H8" s="39">
        <v>10.0</v>
      </c>
      <c r="I8" s="39">
        <v>15.0</v>
      </c>
      <c r="J8" s="39"/>
      <c r="K8" s="39">
        <v>15.0</v>
      </c>
      <c r="L8" s="39"/>
      <c r="M8" s="39">
        <v>15.0</v>
      </c>
      <c r="N8" s="39">
        <v>16.0</v>
      </c>
      <c r="O8" s="39">
        <v>22.0</v>
      </c>
      <c r="P8" s="39"/>
      <c r="Q8" s="39"/>
      <c r="R8" s="39"/>
      <c r="S8" s="40">
        <v>19.0</v>
      </c>
      <c r="T8" s="40">
        <v>17.0</v>
      </c>
      <c r="U8" s="39">
        <v>17.0</v>
      </c>
      <c r="V8" s="41">
        <v>13.0</v>
      </c>
      <c r="W8" s="39">
        <v>14.0</v>
      </c>
      <c r="X8" s="39">
        <v>19.0</v>
      </c>
      <c r="Y8" s="40">
        <v>43.0</v>
      </c>
      <c r="Z8" s="40">
        <v>69.0</v>
      </c>
      <c r="AA8" s="40">
        <v>45.0</v>
      </c>
      <c r="AB8" s="40" t="s">
        <v>32</v>
      </c>
      <c r="AC8" s="40">
        <v>36.0</v>
      </c>
      <c r="AD8" s="40">
        <v>44.0</v>
      </c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</row>
    <row r="9">
      <c r="A9" s="39">
        <v>5.0</v>
      </c>
      <c r="B9" s="178" t="s">
        <v>508</v>
      </c>
      <c r="C9" s="48"/>
      <c r="D9" s="48"/>
      <c r="E9" s="39">
        <v>16.0</v>
      </c>
      <c r="F9" s="39">
        <v>16.0</v>
      </c>
      <c r="G9" s="39">
        <v>10.0</v>
      </c>
      <c r="H9" s="39">
        <v>8.0</v>
      </c>
      <c r="I9" s="39">
        <v>8.0</v>
      </c>
      <c r="J9" s="39"/>
      <c r="K9" s="39">
        <v>15.0</v>
      </c>
      <c r="L9" s="39"/>
      <c r="M9" s="41">
        <v>2.0</v>
      </c>
      <c r="N9" s="41">
        <v>1.0</v>
      </c>
      <c r="O9" s="39">
        <v>17.0</v>
      </c>
      <c r="P9" s="39"/>
      <c r="Q9" s="39"/>
      <c r="R9" s="39"/>
      <c r="S9" s="41">
        <v>8.0</v>
      </c>
      <c r="T9" s="41">
        <v>5.0</v>
      </c>
      <c r="U9" s="41">
        <v>8.0</v>
      </c>
      <c r="V9" s="41">
        <v>12.0</v>
      </c>
      <c r="W9" s="39">
        <v>13.0</v>
      </c>
      <c r="X9" s="41">
        <v>5.0</v>
      </c>
      <c r="Y9" s="41">
        <v>30.0</v>
      </c>
      <c r="Z9" s="41">
        <v>33.0</v>
      </c>
      <c r="AA9" s="41">
        <v>18.0</v>
      </c>
      <c r="AB9" s="41">
        <v>28.0</v>
      </c>
      <c r="AC9" s="41">
        <v>25.0</v>
      </c>
      <c r="AD9" s="41">
        <v>25.0</v>
      </c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</row>
    <row r="10">
      <c r="A10" s="39">
        <v>6.0</v>
      </c>
      <c r="B10" s="178" t="s">
        <v>509</v>
      </c>
      <c r="C10" s="48"/>
      <c r="D10" s="48"/>
      <c r="E10" s="39">
        <v>17.0</v>
      </c>
      <c r="F10" s="39">
        <v>15.0</v>
      </c>
      <c r="G10" s="39">
        <v>11.0</v>
      </c>
      <c r="H10" s="39">
        <v>14.0</v>
      </c>
      <c r="I10" s="39">
        <v>6.0</v>
      </c>
      <c r="J10" s="39"/>
      <c r="K10" s="39">
        <v>13.0</v>
      </c>
      <c r="L10" s="39"/>
      <c r="M10" s="41">
        <v>9.0</v>
      </c>
      <c r="N10" s="41" t="s">
        <v>32</v>
      </c>
      <c r="O10" s="41" t="s">
        <v>32</v>
      </c>
      <c r="P10" s="39"/>
      <c r="Q10" s="39"/>
      <c r="R10" s="39"/>
      <c r="S10" s="39">
        <v>23.0</v>
      </c>
      <c r="T10" s="39">
        <v>17.0</v>
      </c>
      <c r="U10" s="39">
        <v>11.0</v>
      </c>
      <c r="V10" s="41" t="s">
        <v>32</v>
      </c>
      <c r="W10" s="39">
        <v>17.0</v>
      </c>
      <c r="X10" s="39">
        <v>22.0</v>
      </c>
      <c r="Y10" s="40">
        <v>50.0</v>
      </c>
      <c r="Z10" s="40">
        <v>50.0</v>
      </c>
      <c r="AA10" s="40">
        <v>40.0</v>
      </c>
      <c r="AB10" s="40">
        <v>38.0</v>
      </c>
      <c r="AC10" s="40">
        <v>60.0</v>
      </c>
      <c r="AD10" s="40">
        <v>51.0</v>
      </c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</row>
    <row r="11">
      <c r="A11" s="39">
        <v>7.0</v>
      </c>
      <c r="B11" s="178" t="s">
        <v>510</v>
      </c>
      <c r="C11" s="48"/>
      <c r="D11" s="48"/>
      <c r="E11" s="41">
        <v>17.0</v>
      </c>
      <c r="F11" s="41">
        <v>18.0</v>
      </c>
      <c r="G11" s="41">
        <v>17.0</v>
      </c>
      <c r="H11" s="39">
        <v>15.0</v>
      </c>
      <c r="I11" s="39">
        <v>15.0</v>
      </c>
      <c r="J11" s="39"/>
      <c r="K11" s="39">
        <v>16.0</v>
      </c>
      <c r="L11" s="39"/>
      <c r="M11" s="41" t="s">
        <v>32</v>
      </c>
      <c r="N11" s="39">
        <v>26.0</v>
      </c>
      <c r="O11" s="39">
        <v>28.0</v>
      </c>
      <c r="P11" s="39"/>
      <c r="Q11" s="39"/>
      <c r="R11" s="39"/>
      <c r="S11" s="39">
        <v>24.0</v>
      </c>
      <c r="T11" s="39">
        <v>20.0</v>
      </c>
      <c r="U11" s="39">
        <v>19.0</v>
      </c>
      <c r="V11" s="39">
        <v>27.0</v>
      </c>
      <c r="W11" s="39">
        <v>19.0</v>
      </c>
      <c r="X11" s="39">
        <v>24.0</v>
      </c>
      <c r="Y11" s="40">
        <v>87.0</v>
      </c>
      <c r="Z11" s="40">
        <v>95.0</v>
      </c>
      <c r="AA11" s="40">
        <v>48.0</v>
      </c>
      <c r="AB11" s="40">
        <v>62.0</v>
      </c>
      <c r="AC11" s="40">
        <v>66.0</v>
      </c>
      <c r="AD11" s="40">
        <v>72.0</v>
      </c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</row>
    <row r="12">
      <c r="A12" s="39">
        <v>8.0</v>
      </c>
      <c r="B12" s="178" t="s">
        <v>511</v>
      </c>
      <c r="C12" s="48"/>
      <c r="D12" s="48"/>
      <c r="E12" s="41">
        <v>17.0</v>
      </c>
      <c r="F12" s="41">
        <v>17.0</v>
      </c>
      <c r="G12" s="41">
        <v>11.0</v>
      </c>
      <c r="H12" s="39">
        <v>17.0</v>
      </c>
      <c r="I12" s="39">
        <v>15.0</v>
      </c>
      <c r="J12" s="39"/>
      <c r="K12" s="39">
        <v>18.0</v>
      </c>
      <c r="L12" s="39"/>
      <c r="M12" s="39">
        <v>14.0</v>
      </c>
      <c r="N12" s="39">
        <v>24.0</v>
      </c>
      <c r="O12" s="39">
        <v>27.0</v>
      </c>
      <c r="P12" s="39"/>
      <c r="Q12" s="39"/>
      <c r="R12" s="39"/>
      <c r="S12" s="40">
        <v>20.0</v>
      </c>
      <c r="T12" s="39">
        <v>15.0</v>
      </c>
      <c r="U12" s="41" t="s">
        <v>32</v>
      </c>
      <c r="V12" s="39">
        <v>19.0</v>
      </c>
      <c r="W12" s="39">
        <v>19.0</v>
      </c>
      <c r="X12" s="39">
        <v>20.0</v>
      </c>
      <c r="Y12" s="40">
        <v>72.0</v>
      </c>
      <c r="Z12" s="40">
        <v>58.0</v>
      </c>
      <c r="AA12" s="40">
        <v>44.0</v>
      </c>
      <c r="AB12" s="40">
        <v>43.0</v>
      </c>
      <c r="AC12" s="41">
        <v>36.0</v>
      </c>
      <c r="AD12" s="40">
        <v>57.0</v>
      </c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</row>
    <row r="13">
      <c r="A13" s="39">
        <v>9.0</v>
      </c>
      <c r="B13" s="178" t="s">
        <v>512</v>
      </c>
      <c r="C13" s="48"/>
      <c r="D13" s="48"/>
      <c r="E13" s="41">
        <v>20.0</v>
      </c>
      <c r="F13" s="41">
        <v>18.0</v>
      </c>
      <c r="G13" s="41">
        <v>15.0</v>
      </c>
      <c r="H13" s="39">
        <v>18.0</v>
      </c>
      <c r="I13" s="39">
        <v>17.0</v>
      </c>
      <c r="J13" s="39"/>
      <c r="K13" s="39">
        <v>20.0</v>
      </c>
      <c r="L13" s="39"/>
      <c r="M13" s="41">
        <v>9.0</v>
      </c>
      <c r="N13" s="39">
        <v>24.0</v>
      </c>
      <c r="O13" s="39">
        <v>28.0</v>
      </c>
      <c r="P13" s="39"/>
      <c r="Q13" s="39"/>
      <c r="R13" s="39"/>
      <c r="S13" s="39">
        <v>25.0</v>
      </c>
      <c r="T13" s="39">
        <v>20.0</v>
      </c>
      <c r="U13" s="39">
        <v>22.0</v>
      </c>
      <c r="V13" s="39">
        <v>27.0</v>
      </c>
      <c r="W13" s="39">
        <v>19.0</v>
      </c>
      <c r="X13" s="39">
        <v>24.0</v>
      </c>
      <c r="Y13" s="40">
        <v>82.0</v>
      </c>
      <c r="Z13" s="40">
        <v>92.0</v>
      </c>
      <c r="AA13" s="40">
        <v>54.0</v>
      </c>
      <c r="AB13" s="40">
        <v>59.0</v>
      </c>
      <c r="AC13" s="40">
        <v>76.0</v>
      </c>
      <c r="AD13" s="40">
        <v>70.0</v>
      </c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</row>
    <row r="14">
      <c r="A14" s="39">
        <v>10.0</v>
      </c>
      <c r="B14" s="178" t="s">
        <v>513</v>
      </c>
      <c r="C14" s="48"/>
      <c r="D14" s="48"/>
      <c r="E14" s="41">
        <v>15.0</v>
      </c>
      <c r="F14" s="41">
        <v>13.0</v>
      </c>
      <c r="G14" s="41">
        <v>7.0</v>
      </c>
      <c r="H14" s="39">
        <v>10.0</v>
      </c>
      <c r="I14" s="39">
        <v>11.0</v>
      </c>
      <c r="J14" s="39"/>
      <c r="K14" s="39">
        <v>8.0</v>
      </c>
      <c r="L14" s="39"/>
      <c r="M14" s="41">
        <v>9.0</v>
      </c>
      <c r="N14" s="41">
        <v>10.0</v>
      </c>
      <c r="O14" s="41" t="s">
        <v>32</v>
      </c>
      <c r="P14" s="39"/>
      <c r="Q14" s="39"/>
      <c r="R14" s="39"/>
      <c r="S14" s="40">
        <v>15.0</v>
      </c>
      <c r="T14" s="39">
        <v>12.0</v>
      </c>
      <c r="U14" s="41">
        <v>10.0</v>
      </c>
      <c r="V14" s="41">
        <v>12.0</v>
      </c>
      <c r="W14" s="39">
        <v>12.0</v>
      </c>
      <c r="X14" s="39">
        <v>15.0</v>
      </c>
      <c r="Y14" s="40">
        <v>67.0</v>
      </c>
      <c r="Z14" s="40">
        <v>77.0</v>
      </c>
      <c r="AA14" s="40">
        <v>45.0</v>
      </c>
      <c r="AB14" s="40">
        <v>54.0</v>
      </c>
      <c r="AC14" s="40">
        <v>52.0</v>
      </c>
      <c r="AD14" s="40">
        <v>52.0</v>
      </c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</row>
    <row r="15">
      <c r="A15" s="39">
        <v>11.0</v>
      </c>
      <c r="B15" s="178" t="s">
        <v>514</v>
      </c>
      <c r="C15" s="48"/>
      <c r="D15" s="48"/>
      <c r="E15" s="41">
        <v>10.0</v>
      </c>
      <c r="F15" s="41">
        <v>15.0</v>
      </c>
      <c r="G15" s="41">
        <v>10.0</v>
      </c>
      <c r="H15" s="39">
        <v>13.0</v>
      </c>
      <c r="I15" s="39">
        <v>11.0</v>
      </c>
      <c r="J15" s="39"/>
      <c r="K15" s="39" t="s">
        <v>32</v>
      </c>
      <c r="L15" s="39"/>
      <c r="M15" s="39">
        <v>15.0</v>
      </c>
      <c r="N15" s="39">
        <v>23.0</v>
      </c>
      <c r="O15" s="39">
        <v>25.0</v>
      </c>
      <c r="P15" s="39"/>
      <c r="Q15" s="39"/>
      <c r="R15" s="39"/>
      <c r="S15" s="39">
        <v>24.0</v>
      </c>
      <c r="T15" s="39">
        <v>19.0</v>
      </c>
      <c r="U15" s="39">
        <v>22.0</v>
      </c>
      <c r="V15" s="39">
        <v>28.0</v>
      </c>
      <c r="W15" s="39">
        <v>18.0</v>
      </c>
      <c r="X15" s="39">
        <v>25.0</v>
      </c>
      <c r="Y15" s="40">
        <v>77.0</v>
      </c>
      <c r="Z15" s="40">
        <v>93.0</v>
      </c>
      <c r="AA15" s="40">
        <v>46.0</v>
      </c>
      <c r="AB15" s="40">
        <v>63.0</v>
      </c>
      <c r="AC15" s="40">
        <v>69.0</v>
      </c>
      <c r="AD15" s="40">
        <v>67.0</v>
      </c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</row>
    <row r="16">
      <c r="A16" s="39">
        <v>12.0</v>
      </c>
      <c r="B16" s="178" t="s">
        <v>515</v>
      </c>
      <c r="C16" s="48"/>
      <c r="D16" s="48"/>
      <c r="E16" s="41">
        <v>19.0</v>
      </c>
      <c r="F16" s="41">
        <v>19.0</v>
      </c>
      <c r="G16" s="41">
        <v>13.0</v>
      </c>
      <c r="H16" s="39">
        <v>6.0</v>
      </c>
      <c r="I16" s="39">
        <v>18.0</v>
      </c>
      <c r="J16" s="39"/>
      <c r="K16" s="39">
        <v>10.0</v>
      </c>
      <c r="L16" s="39"/>
      <c r="M16" s="39">
        <v>12.0</v>
      </c>
      <c r="N16" s="39">
        <v>17.0</v>
      </c>
      <c r="O16" s="39">
        <v>18.0</v>
      </c>
      <c r="P16" s="39"/>
      <c r="Q16" s="39"/>
      <c r="R16" s="39"/>
      <c r="S16" s="40">
        <v>18.0</v>
      </c>
      <c r="T16" s="39">
        <v>13.0</v>
      </c>
      <c r="U16" s="41">
        <v>7.0</v>
      </c>
      <c r="V16" s="41" t="s">
        <v>32</v>
      </c>
      <c r="W16" s="41" t="s">
        <v>32</v>
      </c>
      <c r="X16" s="40">
        <v>13.0</v>
      </c>
      <c r="Y16" s="40">
        <v>56.0</v>
      </c>
      <c r="Z16" s="40">
        <v>63.0</v>
      </c>
      <c r="AA16" s="40">
        <v>44.0</v>
      </c>
      <c r="AB16" s="40">
        <v>43.0</v>
      </c>
      <c r="AC16" s="40">
        <v>42.0</v>
      </c>
      <c r="AD16" s="40">
        <v>62.0</v>
      </c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</row>
    <row r="17">
      <c r="A17" s="39">
        <v>13.0</v>
      </c>
      <c r="B17" s="207" t="s">
        <v>516</v>
      </c>
      <c r="C17" s="39"/>
      <c r="D17" s="39"/>
      <c r="E17" s="39">
        <v>13.0</v>
      </c>
      <c r="F17" s="39">
        <v>16.0</v>
      </c>
      <c r="G17" s="39">
        <v>15.0</v>
      </c>
      <c r="H17" s="39">
        <v>11.0</v>
      </c>
      <c r="I17" s="39">
        <v>10.0</v>
      </c>
      <c r="J17" s="39"/>
      <c r="K17" s="39">
        <v>13.0</v>
      </c>
      <c r="L17" s="39"/>
      <c r="M17" s="41">
        <v>10.0</v>
      </c>
      <c r="N17" s="41">
        <v>12.0</v>
      </c>
      <c r="O17" s="41">
        <v>11.0</v>
      </c>
      <c r="P17" s="39"/>
      <c r="Q17" s="39"/>
      <c r="R17" s="39"/>
      <c r="S17" s="39">
        <v>21.0</v>
      </c>
      <c r="T17" s="39">
        <v>12.0</v>
      </c>
      <c r="U17" s="39">
        <v>15.0</v>
      </c>
      <c r="V17" s="40">
        <v>20.0</v>
      </c>
      <c r="W17" s="40">
        <v>16.0</v>
      </c>
      <c r="X17" s="40">
        <v>19.0</v>
      </c>
      <c r="Y17" s="40">
        <v>46.0</v>
      </c>
      <c r="Z17" s="40">
        <v>50.0</v>
      </c>
      <c r="AA17" s="40">
        <v>47.0</v>
      </c>
      <c r="AB17" s="41">
        <v>38.0</v>
      </c>
      <c r="AC17" s="40">
        <v>40.0</v>
      </c>
      <c r="AD17" s="40">
        <v>45.0</v>
      </c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</row>
    <row r="18">
      <c r="A18" s="39">
        <v>14.0</v>
      </c>
      <c r="B18" s="178" t="s">
        <v>517</v>
      </c>
      <c r="C18" s="48"/>
      <c r="D18" s="48"/>
      <c r="E18" s="39">
        <v>14.0</v>
      </c>
      <c r="F18" s="39">
        <v>19.0</v>
      </c>
      <c r="G18" s="39" t="s">
        <v>32</v>
      </c>
      <c r="H18" s="39">
        <v>18.0</v>
      </c>
      <c r="I18" s="39">
        <v>15.0</v>
      </c>
      <c r="J18" s="39"/>
      <c r="K18" s="39">
        <v>17.0</v>
      </c>
      <c r="L18" s="39"/>
      <c r="M18" s="41">
        <v>9.0</v>
      </c>
      <c r="N18" s="41">
        <v>12.0</v>
      </c>
      <c r="O18" s="41">
        <v>10.0</v>
      </c>
      <c r="P18" s="39"/>
      <c r="Q18" s="39"/>
      <c r="R18" s="39"/>
      <c r="S18" s="39">
        <v>19.0</v>
      </c>
      <c r="T18" s="39">
        <v>16.0</v>
      </c>
      <c r="U18" s="39">
        <v>22.0</v>
      </c>
      <c r="V18" s="39">
        <v>19.0</v>
      </c>
      <c r="W18" s="39">
        <v>18.0</v>
      </c>
      <c r="X18" s="39">
        <v>16.0</v>
      </c>
      <c r="Y18" s="40">
        <v>60.0</v>
      </c>
      <c r="Z18" s="40">
        <v>60.0</v>
      </c>
      <c r="AA18" s="40">
        <v>48.0</v>
      </c>
      <c r="AB18" s="40">
        <v>43.0</v>
      </c>
      <c r="AC18" s="40">
        <v>42.0</v>
      </c>
      <c r="AD18" s="40">
        <v>46.0</v>
      </c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</row>
    <row r="19">
      <c r="A19" s="39">
        <v>15.0</v>
      </c>
      <c r="B19" s="207" t="s">
        <v>518</v>
      </c>
      <c r="C19" s="39"/>
      <c r="D19" s="39"/>
      <c r="E19" s="39">
        <v>14.0</v>
      </c>
      <c r="F19" s="39">
        <v>15.0</v>
      </c>
      <c r="G19" s="39">
        <v>15.0</v>
      </c>
      <c r="H19" s="39">
        <v>10.0</v>
      </c>
      <c r="I19" s="39">
        <v>8.0</v>
      </c>
      <c r="J19" s="39"/>
      <c r="K19" s="39">
        <v>16.0</v>
      </c>
      <c r="L19" s="39"/>
      <c r="M19" s="41">
        <v>2.0</v>
      </c>
      <c r="N19" s="41">
        <v>3.0</v>
      </c>
      <c r="O19" s="41">
        <v>12.0</v>
      </c>
      <c r="P19" s="39"/>
      <c r="Q19" s="39"/>
      <c r="R19" s="39"/>
      <c r="S19" s="41">
        <v>10.0</v>
      </c>
      <c r="T19" s="41">
        <v>8.0</v>
      </c>
      <c r="U19" s="39">
        <v>17.0</v>
      </c>
      <c r="V19" s="41">
        <v>7.0</v>
      </c>
      <c r="W19" s="39">
        <v>10.0</v>
      </c>
      <c r="X19" s="41">
        <v>9.0</v>
      </c>
      <c r="Y19" s="41">
        <v>30.0</v>
      </c>
      <c r="Z19" s="41">
        <v>34.0</v>
      </c>
      <c r="AA19" s="41">
        <v>36.0</v>
      </c>
      <c r="AB19" s="41">
        <v>30.0</v>
      </c>
      <c r="AC19" s="41">
        <v>25.0</v>
      </c>
      <c r="AD19" s="41">
        <v>35.0</v>
      </c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</row>
    <row r="20">
      <c r="A20" s="39">
        <v>16.0</v>
      </c>
      <c r="B20" s="178" t="s">
        <v>519</v>
      </c>
      <c r="C20" s="48"/>
      <c r="D20" s="48"/>
      <c r="E20" s="39">
        <v>15.0</v>
      </c>
      <c r="F20" s="39">
        <v>7.0</v>
      </c>
      <c r="G20" s="39">
        <v>7.0</v>
      </c>
      <c r="H20" s="39">
        <v>3.5</v>
      </c>
      <c r="I20" s="39">
        <v>3.0</v>
      </c>
      <c r="J20" s="39"/>
      <c r="K20" s="39" t="s">
        <v>32</v>
      </c>
      <c r="L20" s="39"/>
      <c r="M20" s="41">
        <v>9.0</v>
      </c>
      <c r="N20" s="41">
        <v>5.0</v>
      </c>
      <c r="O20" s="39">
        <v>19.0</v>
      </c>
      <c r="P20" s="39"/>
      <c r="Q20" s="39"/>
      <c r="R20" s="39"/>
      <c r="S20" s="40">
        <v>19.0</v>
      </c>
      <c r="T20" s="41">
        <v>9.0</v>
      </c>
      <c r="U20" s="40">
        <v>20.0</v>
      </c>
      <c r="V20" s="40">
        <v>18.0</v>
      </c>
      <c r="W20" s="41" t="s">
        <v>32</v>
      </c>
      <c r="X20" s="41" t="s">
        <v>32</v>
      </c>
      <c r="Y20" s="41">
        <v>34.0</v>
      </c>
      <c r="Z20" s="41">
        <v>37.0</v>
      </c>
      <c r="AA20" s="41">
        <v>35.0</v>
      </c>
      <c r="AB20" s="41">
        <v>39.0</v>
      </c>
      <c r="AC20" s="41">
        <v>33.0</v>
      </c>
      <c r="AD20" s="41" t="s">
        <v>32</v>
      </c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</row>
    <row r="21">
      <c r="A21" s="39">
        <v>17.0</v>
      </c>
      <c r="B21" s="176" t="s">
        <v>520</v>
      </c>
      <c r="C21" s="34"/>
      <c r="D21" s="34"/>
      <c r="E21" s="111">
        <v>18.0</v>
      </c>
      <c r="F21" s="111">
        <v>18.0</v>
      </c>
      <c r="G21" s="111">
        <v>16.0</v>
      </c>
      <c r="H21" s="111">
        <v>18.0</v>
      </c>
      <c r="I21" s="111">
        <v>18.0</v>
      </c>
      <c r="J21" s="39"/>
      <c r="K21" s="39">
        <v>17.0</v>
      </c>
      <c r="L21" s="39"/>
      <c r="M21" s="39">
        <v>14.0</v>
      </c>
      <c r="N21" s="39">
        <v>21.0</v>
      </c>
      <c r="O21" s="39">
        <v>20.0</v>
      </c>
      <c r="P21" s="39"/>
      <c r="Q21" s="39"/>
      <c r="R21" s="80"/>
      <c r="S21" s="40">
        <v>22.0</v>
      </c>
      <c r="T21" s="40">
        <v>16.0</v>
      </c>
      <c r="U21" s="40">
        <v>22.0</v>
      </c>
      <c r="V21" s="40">
        <v>24.0</v>
      </c>
      <c r="W21" s="40">
        <v>18.0</v>
      </c>
      <c r="X21" s="40">
        <v>24.0</v>
      </c>
      <c r="Y21" s="40">
        <v>62.0</v>
      </c>
      <c r="Z21" s="40">
        <v>75.0</v>
      </c>
      <c r="AA21" s="40">
        <v>45.0</v>
      </c>
      <c r="AB21" s="40">
        <v>53.0</v>
      </c>
      <c r="AC21" s="40">
        <v>52.0</v>
      </c>
      <c r="AD21" s="40">
        <v>57.0</v>
      </c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</row>
    <row r="22">
      <c r="A22" s="39">
        <v>18.0</v>
      </c>
      <c r="B22" s="176" t="s">
        <v>521</v>
      </c>
      <c r="C22" s="34"/>
      <c r="D22" s="34"/>
      <c r="E22" s="111" t="s">
        <v>32</v>
      </c>
      <c r="F22" s="111">
        <v>17.0</v>
      </c>
      <c r="G22" s="111">
        <v>9.0</v>
      </c>
      <c r="H22" s="111">
        <v>11.0</v>
      </c>
      <c r="I22" s="111">
        <v>14.0</v>
      </c>
      <c r="J22" s="39"/>
      <c r="K22" s="39">
        <v>11.0</v>
      </c>
      <c r="L22" s="39"/>
      <c r="M22" s="39">
        <v>14.0</v>
      </c>
      <c r="N22" s="41" t="s">
        <v>32</v>
      </c>
      <c r="O22" s="41" t="s">
        <v>32</v>
      </c>
      <c r="P22" s="39"/>
      <c r="Q22" s="39"/>
      <c r="R22" s="80"/>
      <c r="S22" s="40">
        <v>25.0</v>
      </c>
      <c r="T22" s="40">
        <v>19.0</v>
      </c>
      <c r="U22" s="40">
        <v>21.0</v>
      </c>
      <c r="V22" s="40">
        <v>27.0</v>
      </c>
      <c r="W22" s="40">
        <v>19.0</v>
      </c>
      <c r="X22" s="40">
        <v>24.0</v>
      </c>
      <c r="Y22" s="40">
        <v>60.0</v>
      </c>
      <c r="Z22" s="40">
        <v>84.0</v>
      </c>
      <c r="AA22" s="40">
        <v>48.0</v>
      </c>
      <c r="AB22" s="40">
        <v>53.0</v>
      </c>
      <c r="AC22" s="40">
        <v>52.0</v>
      </c>
      <c r="AD22" s="40">
        <v>57.0</v>
      </c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</row>
    <row r="23">
      <c r="A23" s="39">
        <v>19.0</v>
      </c>
      <c r="B23" s="207" t="s">
        <v>522</v>
      </c>
      <c r="C23" s="42"/>
      <c r="D23" s="42"/>
      <c r="E23" s="111">
        <v>7.0</v>
      </c>
      <c r="F23" s="111">
        <v>14.0</v>
      </c>
      <c r="G23" s="111">
        <v>7.0</v>
      </c>
      <c r="H23" s="111">
        <v>4.0</v>
      </c>
      <c r="I23" s="111">
        <v>6.0</v>
      </c>
      <c r="J23" s="42"/>
      <c r="K23" s="111">
        <v>1.0</v>
      </c>
      <c r="L23" s="111"/>
      <c r="M23" s="41">
        <v>5.0</v>
      </c>
      <c r="N23" s="41" t="s">
        <v>32</v>
      </c>
      <c r="O23" s="41">
        <v>10.0</v>
      </c>
      <c r="P23" s="42"/>
      <c r="Q23" s="42"/>
      <c r="R23" s="42"/>
      <c r="S23" s="40">
        <v>13.0</v>
      </c>
      <c r="T23" s="40">
        <v>12.0</v>
      </c>
      <c r="U23" s="40">
        <v>18.0</v>
      </c>
      <c r="V23" s="41">
        <v>11.0</v>
      </c>
      <c r="W23" s="40">
        <v>14.0</v>
      </c>
      <c r="X23" s="40">
        <v>13.0</v>
      </c>
      <c r="Y23" s="41">
        <v>36.0</v>
      </c>
      <c r="Z23" s="40">
        <v>60.0</v>
      </c>
      <c r="AA23" s="41">
        <v>37.0</v>
      </c>
      <c r="AB23" s="41">
        <v>35.0</v>
      </c>
      <c r="AC23" s="41">
        <v>34.0</v>
      </c>
      <c r="AD23" s="40">
        <v>47.0</v>
      </c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</row>
    <row r="24">
      <c r="A24" s="39">
        <v>20.0</v>
      </c>
      <c r="B24" s="207" t="s">
        <v>523</v>
      </c>
      <c r="C24" s="42"/>
      <c r="D24" s="42"/>
      <c r="E24" s="111">
        <v>6.0</v>
      </c>
      <c r="F24" s="111">
        <v>11.0</v>
      </c>
      <c r="G24" s="111">
        <v>10.0</v>
      </c>
      <c r="H24" s="111">
        <v>10.0</v>
      </c>
      <c r="I24" s="111">
        <v>4.0</v>
      </c>
      <c r="J24" s="42"/>
      <c r="K24" s="111">
        <v>3.0</v>
      </c>
      <c r="L24" s="111"/>
      <c r="M24" s="41">
        <v>5.0</v>
      </c>
      <c r="N24" s="41" t="s">
        <v>32</v>
      </c>
      <c r="O24" s="41" t="s">
        <v>32</v>
      </c>
      <c r="P24" s="42"/>
      <c r="Q24" s="42"/>
      <c r="R24" s="42"/>
      <c r="S24" s="40">
        <v>13.0</v>
      </c>
      <c r="T24" s="40">
        <v>13.0</v>
      </c>
      <c r="U24" s="40">
        <v>13.0</v>
      </c>
      <c r="V24" s="41">
        <v>4.0</v>
      </c>
      <c r="W24" s="41">
        <v>9.0</v>
      </c>
      <c r="X24" s="41">
        <v>9.0</v>
      </c>
      <c r="Y24" s="41">
        <v>36.0</v>
      </c>
      <c r="Z24" s="40">
        <v>50.0</v>
      </c>
      <c r="AA24" s="41">
        <v>32.0</v>
      </c>
      <c r="AB24" s="41">
        <v>25.0</v>
      </c>
      <c r="AC24" s="41">
        <v>30.0</v>
      </c>
      <c r="AD24" s="41">
        <v>31.0</v>
      </c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</row>
    <row r="25">
      <c r="A25" s="39">
        <v>21.0</v>
      </c>
      <c r="B25" s="207" t="s">
        <v>524</v>
      </c>
      <c r="C25" s="42"/>
      <c r="D25" s="61"/>
      <c r="E25" s="111">
        <v>12.0</v>
      </c>
      <c r="F25" s="111">
        <v>14.0</v>
      </c>
      <c r="G25" s="111">
        <v>12.0</v>
      </c>
      <c r="H25" s="111">
        <v>14.0</v>
      </c>
      <c r="I25" s="111">
        <v>10.0</v>
      </c>
      <c r="J25" s="42"/>
      <c r="K25" s="111">
        <v>12.0</v>
      </c>
      <c r="L25" s="111"/>
      <c r="M25" s="39">
        <v>18.0</v>
      </c>
      <c r="N25" s="39">
        <v>21.0</v>
      </c>
      <c r="O25" s="39">
        <v>15.0</v>
      </c>
      <c r="P25" s="42"/>
      <c r="Q25" s="42"/>
      <c r="R25" s="42"/>
      <c r="S25" s="40">
        <v>24.0</v>
      </c>
      <c r="T25" s="40">
        <v>14.0</v>
      </c>
      <c r="U25" s="40">
        <v>19.0</v>
      </c>
      <c r="V25" s="40">
        <v>25.0</v>
      </c>
      <c r="W25" s="40">
        <v>19.0</v>
      </c>
      <c r="X25" s="40">
        <v>22.0</v>
      </c>
      <c r="Y25" s="40">
        <v>56.0</v>
      </c>
      <c r="Z25" s="40">
        <v>65.0</v>
      </c>
      <c r="AA25" s="40">
        <v>51.0</v>
      </c>
      <c r="AB25" s="40">
        <v>44.0</v>
      </c>
      <c r="AC25" s="40">
        <v>55.0</v>
      </c>
      <c r="AD25" s="40">
        <v>49.0</v>
      </c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</row>
    <row r="26">
      <c r="A26" s="111">
        <v>22.0</v>
      </c>
      <c r="B26" s="207" t="s">
        <v>525</v>
      </c>
      <c r="C26" s="42"/>
      <c r="D26" s="61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1" t="s">
        <v>32</v>
      </c>
      <c r="T26" s="41" t="s">
        <v>32</v>
      </c>
      <c r="U26" s="40">
        <v>12.0</v>
      </c>
      <c r="V26" s="41">
        <v>5.0</v>
      </c>
      <c r="W26" s="40">
        <v>11.0</v>
      </c>
      <c r="X26" s="41">
        <v>11.0</v>
      </c>
      <c r="Y26" s="40">
        <v>40.0</v>
      </c>
      <c r="Z26" s="40">
        <v>45.0</v>
      </c>
      <c r="AA26" s="40">
        <v>44.0</v>
      </c>
      <c r="AB26" s="41">
        <v>37.0</v>
      </c>
      <c r="AC26" s="40">
        <v>39.0</v>
      </c>
      <c r="AD26" s="40">
        <v>40.0</v>
      </c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</row>
    <row r="27">
      <c r="A27" s="42"/>
      <c r="B27" s="207"/>
      <c r="C27" s="42"/>
      <c r="D27" s="61"/>
      <c r="E27" s="42"/>
      <c r="F27" s="42"/>
      <c r="G27" s="42"/>
      <c r="H27" s="42"/>
      <c r="I27" s="42"/>
      <c r="J27" s="42"/>
      <c r="K27" s="42"/>
      <c r="L27" s="42"/>
      <c r="M27" s="51"/>
      <c r="N27" s="51"/>
      <c r="O27" s="5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</row>
    <row r="28">
      <c r="A28" s="42"/>
      <c r="B28" s="213" t="s">
        <v>85</v>
      </c>
      <c r="C28" s="42"/>
      <c r="D28" s="213" t="s">
        <v>85</v>
      </c>
      <c r="E28" s="58">
        <f t="shared" ref="E28:K28" si="1">SUM(E5:E22)</f>
        <v>272</v>
      </c>
      <c r="F28" s="58">
        <f t="shared" si="1"/>
        <v>292</v>
      </c>
      <c r="G28" s="58">
        <f t="shared" si="1"/>
        <v>222</v>
      </c>
      <c r="H28" s="58">
        <f t="shared" si="1"/>
        <v>228.5</v>
      </c>
      <c r="I28" s="58">
        <f t="shared" si="1"/>
        <v>229</v>
      </c>
      <c r="J28" s="58">
        <f t="shared" si="1"/>
        <v>0</v>
      </c>
      <c r="K28" s="58">
        <f t="shared" si="1"/>
        <v>243</v>
      </c>
      <c r="L28" s="58"/>
      <c r="M28" s="56">
        <f t="shared" ref="M28:O28" si="2">SUM(M5:M25)</f>
        <v>198</v>
      </c>
      <c r="N28" s="56">
        <f t="shared" si="2"/>
        <v>288</v>
      </c>
      <c r="O28" s="56">
        <f t="shared" si="2"/>
        <v>337</v>
      </c>
      <c r="P28" s="58"/>
      <c r="Q28" s="58"/>
      <c r="R28" s="58"/>
      <c r="S28" s="58">
        <f t="shared" ref="S28:AD28" si="3">sum(S5:S26)</f>
        <v>403</v>
      </c>
      <c r="T28" s="58">
        <f t="shared" si="3"/>
        <v>309</v>
      </c>
      <c r="U28" s="58">
        <f t="shared" si="3"/>
        <v>358</v>
      </c>
      <c r="V28" s="58">
        <f t="shared" si="3"/>
        <v>349</v>
      </c>
      <c r="W28" s="58">
        <f t="shared" si="3"/>
        <v>318</v>
      </c>
      <c r="X28" s="58">
        <f t="shared" si="3"/>
        <v>380</v>
      </c>
      <c r="Y28" s="58">
        <f t="shared" si="3"/>
        <v>1222</v>
      </c>
      <c r="Z28" s="58">
        <f t="shared" si="3"/>
        <v>1440</v>
      </c>
      <c r="AA28" s="58">
        <f t="shared" si="3"/>
        <v>978</v>
      </c>
      <c r="AB28" s="58">
        <f t="shared" si="3"/>
        <v>952</v>
      </c>
      <c r="AC28" s="58">
        <f t="shared" si="3"/>
        <v>1079</v>
      </c>
      <c r="AD28" s="58">
        <f t="shared" si="3"/>
        <v>1103</v>
      </c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</row>
    <row r="29">
      <c r="A29" s="47"/>
      <c r="B29" s="213" t="s">
        <v>86</v>
      </c>
      <c r="C29" s="66"/>
      <c r="D29" s="213" t="s">
        <v>86</v>
      </c>
      <c r="E29" s="218">
        <f t="shared" ref="E29:K29" si="4">E28/E33</f>
        <v>9.066666667</v>
      </c>
      <c r="F29" s="218">
        <f t="shared" si="4"/>
        <v>10.06896552</v>
      </c>
      <c r="G29" s="218">
        <f t="shared" si="4"/>
        <v>7.161290323</v>
      </c>
      <c r="H29" s="218">
        <f t="shared" si="4"/>
        <v>7.616666667</v>
      </c>
      <c r="I29" s="218">
        <f t="shared" si="4"/>
        <v>7.387096774</v>
      </c>
      <c r="J29" s="218" t="str">
        <f t="shared" si="4"/>
        <v>#DIV/0!</v>
      </c>
      <c r="K29" s="218">
        <f t="shared" si="4"/>
        <v>8.678571429</v>
      </c>
      <c r="L29" s="218"/>
      <c r="M29" s="190">
        <f t="shared" ref="M29:O29" si="5">M28/M33</f>
        <v>9.9</v>
      </c>
      <c r="N29" s="190">
        <f t="shared" si="5"/>
        <v>16</v>
      </c>
      <c r="O29" s="190">
        <f t="shared" si="5"/>
        <v>18.72222222</v>
      </c>
      <c r="P29" s="67"/>
      <c r="Q29" s="67"/>
      <c r="R29" s="67"/>
      <c r="S29" s="219">
        <f t="shared" ref="S29:AD29" si="6">S28/S33</f>
        <v>18.31818182</v>
      </c>
      <c r="T29" s="219">
        <f t="shared" si="6"/>
        <v>14.04545455</v>
      </c>
      <c r="U29" s="219">
        <f t="shared" si="6"/>
        <v>16.27272727</v>
      </c>
      <c r="V29" s="219">
        <f t="shared" si="6"/>
        <v>17.45</v>
      </c>
      <c r="W29" s="219">
        <f t="shared" si="6"/>
        <v>15.14285714</v>
      </c>
      <c r="X29" s="219">
        <f t="shared" si="6"/>
        <v>17.27272727</v>
      </c>
      <c r="Y29" s="219">
        <f t="shared" si="6"/>
        <v>55.54545455</v>
      </c>
      <c r="Z29" s="219">
        <f t="shared" si="6"/>
        <v>65.45454545</v>
      </c>
      <c r="AA29" s="219">
        <f t="shared" si="6"/>
        <v>44.45454545</v>
      </c>
      <c r="AB29" s="219">
        <f t="shared" si="6"/>
        <v>45.33333333</v>
      </c>
      <c r="AC29" s="219">
        <f t="shared" si="6"/>
        <v>49.04545455</v>
      </c>
      <c r="AD29" s="219">
        <f t="shared" si="6"/>
        <v>52.52380952</v>
      </c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</row>
    <row r="30">
      <c r="A30" s="47"/>
      <c r="B30" s="213" t="s">
        <v>87</v>
      </c>
      <c r="C30" s="66"/>
      <c r="D30" s="213" t="s">
        <v>87</v>
      </c>
      <c r="E30" s="70"/>
      <c r="F30" s="70"/>
      <c r="G30" s="70"/>
      <c r="H30" s="70"/>
      <c r="I30" s="70"/>
      <c r="J30" s="67"/>
      <c r="K30" s="67"/>
      <c r="L30" s="67"/>
      <c r="M30" s="68">
        <v>22.0</v>
      </c>
      <c r="N30" s="68">
        <v>22.0</v>
      </c>
      <c r="O30" s="68">
        <v>22.0</v>
      </c>
      <c r="P30" s="67"/>
      <c r="Q30" s="67"/>
      <c r="R30" s="67"/>
      <c r="S30" s="67">
        <v>23.0</v>
      </c>
      <c r="T30" s="67">
        <v>23.0</v>
      </c>
      <c r="U30" s="67">
        <v>23.0</v>
      </c>
      <c r="V30" s="67">
        <v>23.0</v>
      </c>
      <c r="W30" s="67">
        <v>23.0</v>
      </c>
      <c r="X30" s="67">
        <v>23.0</v>
      </c>
      <c r="Y30" s="118">
        <v>22.0</v>
      </c>
      <c r="Z30" s="118">
        <v>22.0</v>
      </c>
      <c r="AA30" s="118">
        <v>22.0</v>
      </c>
      <c r="AB30" s="118">
        <v>22.0</v>
      </c>
      <c r="AC30" s="92">
        <v>22.0</v>
      </c>
      <c r="AD30" s="92">
        <v>22.0</v>
      </c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</row>
    <row r="31">
      <c r="B31" s="213" t="s">
        <v>88</v>
      </c>
      <c r="C31" s="66"/>
      <c r="D31" s="213" t="s">
        <v>88</v>
      </c>
      <c r="E31" s="67">
        <v>25.0</v>
      </c>
      <c r="F31" s="67">
        <v>27.0</v>
      </c>
      <c r="G31" s="67">
        <v>23.0</v>
      </c>
      <c r="H31" s="67">
        <v>20.0</v>
      </c>
      <c r="I31" s="67">
        <v>17.0</v>
      </c>
      <c r="J31" s="70"/>
      <c r="K31" s="67">
        <v>20.0</v>
      </c>
      <c r="L31" s="67"/>
      <c r="M31" s="64">
        <v>9.0</v>
      </c>
      <c r="N31" s="64">
        <v>12.0</v>
      </c>
      <c r="O31" s="68">
        <v>14.0</v>
      </c>
      <c r="P31" s="70"/>
      <c r="Q31" s="63"/>
      <c r="R31" s="63"/>
      <c r="S31" s="219">
        <v>20.0</v>
      </c>
      <c r="T31" s="219">
        <v>19.0</v>
      </c>
      <c r="U31" s="219">
        <v>19.0</v>
      </c>
      <c r="V31" s="219">
        <v>13.0</v>
      </c>
      <c r="W31" s="219">
        <v>20.0</v>
      </c>
      <c r="X31" s="219">
        <v>17.0</v>
      </c>
      <c r="Y31" s="67">
        <v>17.0</v>
      </c>
      <c r="Z31" s="67">
        <v>19.0</v>
      </c>
      <c r="AA31" s="67">
        <v>17.0</v>
      </c>
      <c r="AB31" s="92">
        <v>14.0</v>
      </c>
      <c r="AC31" s="92">
        <v>16.0</v>
      </c>
      <c r="AD31" s="92">
        <v>18.0</v>
      </c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>
      <c r="B32" s="213" t="s">
        <v>89</v>
      </c>
      <c r="C32" s="66"/>
      <c r="D32" s="213" t="s">
        <v>89</v>
      </c>
      <c r="E32" s="67">
        <v>5.0</v>
      </c>
      <c r="F32" s="67">
        <v>2.0</v>
      </c>
      <c r="G32" s="67">
        <v>8.0</v>
      </c>
      <c r="H32" s="67">
        <v>10.0</v>
      </c>
      <c r="I32" s="67">
        <v>14.0</v>
      </c>
      <c r="J32" s="67"/>
      <c r="K32" s="67">
        <v>8.0</v>
      </c>
      <c r="L32" s="67"/>
      <c r="M32" s="64">
        <v>11.0</v>
      </c>
      <c r="N32" s="64">
        <v>6.0</v>
      </c>
      <c r="O32" s="68">
        <v>4.0</v>
      </c>
      <c r="P32" s="67"/>
      <c r="Q32" s="62"/>
      <c r="R32" s="62"/>
      <c r="S32" s="220">
        <v>2.0</v>
      </c>
      <c r="T32" s="220">
        <v>3.0</v>
      </c>
      <c r="U32" s="221">
        <v>3.0</v>
      </c>
      <c r="V32" s="221">
        <v>7.0</v>
      </c>
      <c r="W32" s="221">
        <v>1.0</v>
      </c>
      <c r="X32" s="221">
        <v>5.0</v>
      </c>
      <c r="Y32" s="222">
        <v>5.0</v>
      </c>
      <c r="Z32" s="71">
        <v>3.0</v>
      </c>
      <c r="AA32" s="71">
        <v>5.0</v>
      </c>
      <c r="AB32" s="71">
        <v>7.0</v>
      </c>
      <c r="AC32" s="223">
        <v>6.0</v>
      </c>
      <c r="AD32" s="223">
        <v>3.0</v>
      </c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>
      <c r="B33" s="213" t="s">
        <v>90</v>
      </c>
      <c r="C33" s="66"/>
      <c r="D33" s="213" t="s">
        <v>90</v>
      </c>
      <c r="E33" s="67">
        <v>30.0</v>
      </c>
      <c r="F33" s="67">
        <v>29.0</v>
      </c>
      <c r="G33" s="67">
        <v>31.0</v>
      </c>
      <c r="H33" s="67">
        <v>30.0</v>
      </c>
      <c r="I33" s="67">
        <v>31.0</v>
      </c>
      <c r="J33" s="67"/>
      <c r="K33" s="67">
        <v>28.0</v>
      </c>
      <c r="L33" s="67"/>
      <c r="M33" s="64">
        <v>20.0</v>
      </c>
      <c r="N33" s="64">
        <v>18.0</v>
      </c>
      <c r="O33" s="68">
        <v>18.0</v>
      </c>
      <c r="P33" s="67"/>
      <c r="Q33" s="62"/>
      <c r="R33" s="62"/>
      <c r="S33" s="67">
        <v>22.0</v>
      </c>
      <c r="T33" s="67">
        <v>22.0</v>
      </c>
      <c r="U33" s="224">
        <v>22.0</v>
      </c>
      <c r="V33" s="224">
        <v>20.0</v>
      </c>
      <c r="W33" s="224">
        <v>21.0</v>
      </c>
      <c r="X33" s="224">
        <v>22.0</v>
      </c>
      <c r="Y33" s="67">
        <v>22.0</v>
      </c>
      <c r="Z33" s="67">
        <v>22.0</v>
      </c>
      <c r="AA33" s="67">
        <v>22.0</v>
      </c>
      <c r="AB33" s="67">
        <v>21.0</v>
      </c>
      <c r="AC33" s="92">
        <v>22.0</v>
      </c>
      <c r="AD33" s="92">
        <v>21.0</v>
      </c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>
      <c r="B34" s="225"/>
      <c r="C34" s="66"/>
      <c r="D34" s="66"/>
      <c r="E34" s="66"/>
      <c r="F34" s="66"/>
      <c r="G34" s="66"/>
      <c r="H34" s="66"/>
      <c r="I34" s="66"/>
      <c r="J34" s="130"/>
      <c r="K34" s="78"/>
      <c r="L34" s="78"/>
      <c r="M34" s="46"/>
      <c r="N34" s="46"/>
      <c r="O34" s="78"/>
      <c r="P34" s="78"/>
      <c r="Q34" s="46"/>
      <c r="R34" s="46"/>
      <c r="S34" s="78"/>
      <c r="T34" s="78"/>
      <c r="U34" s="79"/>
      <c r="V34" s="79"/>
      <c r="W34" s="79"/>
      <c r="X34" s="79"/>
      <c r="Y34" s="102"/>
      <c r="Z34" s="102"/>
      <c r="AA34" s="102"/>
      <c r="AB34" s="10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>
      <c r="B35" s="225"/>
      <c r="C35" s="66"/>
      <c r="D35" s="66"/>
      <c r="E35" s="66"/>
      <c r="F35" s="66"/>
      <c r="G35" s="66"/>
      <c r="H35" s="66"/>
      <c r="I35" s="66"/>
      <c r="J35" s="130"/>
      <c r="K35" s="78"/>
      <c r="L35" s="78"/>
      <c r="M35" s="46"/>
      <c r="N35" s="46"/>
      <c r="O35" s="78"/>
      <c r="P35" s="78"/>
      <c r="Q35" s="46"/>
      <c r="R35" s="46"/>
      <c r="S35" s="78"/>
      <c r="T35" s="78"/>
      <c r="U35" s="78"/>
      <c r="V35" s="78"/>
      <c r="W35" s="78"/>
      <c r="X35" s="78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>
      <c r="B36" s="187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80"/>
      <c r="N36" s="80"/>
      <c r="O36" s="66"/>
      <c r="P36" s="66"/>
      <c r="Q36" s="80"/>
      <c r="R36" s="80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>
      <c r="B37" s="193"/>
      <c r="C37" s="81"/>
      <c r="D37" s="81"/>
      <c r="E37" s="81"/>
      <c r="F37" s="81"/>
      <c r="G37" s="81"/>
      <c r="H37" s="81"/>
      <c r="I37" s="81"/>
      <c r="J37" s="81"/>
      <c r="K37" s="81"/>
      <c r="L37" s="81"/>
      <c r="O37" s="81"/>
      <c r="P37" s="81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>
      <c r="B38" s="194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>
      <c r="B39" s="194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>
      <c r="B40" s="194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>
      <c r="B41" s="194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>
      <c r="B42" s="194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>
      <c r="B43" s="194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>
      <c r="B44" s="194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>
      <c r="B45" s="194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>
      <c r="B46" s="194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>
      <c r="B47" s="194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>
      <c r="B48" s="194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>
      <c r="B49" s="194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>
      <c r="B50" s="194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>
      <c r="B51" s="194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>
      <c r="B52" s="194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>
      <c r="B53" s="194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>
      <c r="B54" s="194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>
      <c r="B55" s="194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>
      <c r="B56" s="194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</row>
    <row r="57">
      <c r="B57" s="194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</row>
    <row r="58">
      <c r="B58" s="194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</row>
    <row r="59">
      <c r="B59" s="194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</row>
    <row r="60">
      <c r="B60" s="194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</row>
    <row r="61">
      <c r="B61" s="194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</row>
    <row r="62">
      <c r="B62" s="194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</row>
    <row r="63">
      <c r="B63" s="194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</row>
    <row r="64">
      <c r="B64" s="194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</row>
    <row r="65">
      <c r="B65" s="194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</row>
    <row r="66">
      <c r="B66" s="194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</row>
    <row r="67">
      <c r="B67" s="194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</row>
    <row r="68">
      <c r="B68" s="194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</row>
    <row r="69">
      <c r="B69" s="194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</row>
    <row r="70">
      <c r="B70" s="194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</row>
    <row r="71">
      <c r="B71" s="194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</row>
    <row r="72">
      <c r="B72" s="194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</row>
    <row r="73">
      <c r="B73" s="194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</row>
    <row r="74">
      <c r="B74" s="194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</row>
    <row r="75">
      <c r="B75" s="194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</row>
    <row r="76">
      <c r="B76" s="194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</row>
    <row r="77">
      <c r="B77" s="194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</row>
    <row r="78">
      <c r="B78" s="194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</row>
    <row r="79">
      <c r="B79" s="194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</row>
    <row r="80">
      <c r="B80" s="194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</row>
    <row r="81">
      <c r="B81" s="194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</row>
    <row r="82">
      <c r="B82" s="194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</row>
    <row r="83">
      <c r="B83" s="194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</row>
    <row r="84">
      <c r="B84" s="194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</row>
    <row r="85">
      <c r="B85" s="194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</row>
    <row r="86">
      <c r="B86" s="194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</row>
    <row r="87">
      <c r="B87" s="194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</row>
    <row r="88">
      <c r="B88" s="194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</row>
    <row r="89">
      <c r="B89" s="194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</row>
    <row r="90">
      <c r="B90" s="194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</row>
    <row r="91">
      <c r="B91" s="194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</row>
    <row r="92">
      <c r="B92" s="194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</row>
    <row r="93">
      <c r="B93" s="194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</row>
    <row r="94">
      <c r="B94" s="194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</row>
    <row r="95">
      <c r="B95" s="194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</row>
    <row r="96">
      <c r="B96" s="194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</row>
    <row r="97">
      <c r="B97" s="194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</row>
    <row r="98">
      <c r="B98" s="194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</row>
    <row r="99">
      <c r="B99" s="194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</row>
    <row r="100">
      <c r="B100" s="194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</row>
    <row r="101">
      <c r="B101" s="194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</row>
    <row r="102">
      <c r="B102" s="194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</row>
    <row r="103">
      <c r="B103" s="194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</row>
    <row r="104">
      <c r="B104" s="194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</row>
    <row r="105">
      <c r="B105" s="194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</row>
    <row r="106">
      <c r="B106" s="194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</row>
    <row r="107">
      <c r="B107" s="194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</row>
    <row r="108">
      <c r="B108" s="194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</row>
    <row r="109">
      <c r="B109" s="194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</row>
    <row r="110">
      <c r="B110" s="194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</row>
    <row r="111">
      <c r="B111" s="194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</row>
    <row r="112">
      <c r="B112" s="194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</row>
    <row r="113">
      <c r="B113" s="194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</row>
    <row r="114">
      <c r="B114" s="194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</row>
    <row r="115">
      <c r="B115" s="194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</row>
    <row r="116">
      <c r="B116" s="194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</row>
    <row r="117">
      <c r="B117" s="194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</row>
    <row r="118">
      <c r="B118" s="194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</row>
    <row r="119">
      <c r="B119" s="194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</row>
    <row r="120">
      <c r="B120" s="194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</row>
    <row r="121">
      <c r="B121" s="194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</row>
    <row r="122">
      <c r="B122" s="194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</row>
    <row r="123">
      <c r="B123" s="194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</row>
    <row r="124">
      <c r="B124" s="194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</row>
    <row r="125">
      <c r="B125" s="194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</row>
    <row r="126">
      <c r="B126" s="194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</row>
    <row r="127">
      <c r="B127" s="194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</row>
    <row r="128">
      <c r="B128" s="194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</row>
    <row r="129">
      <c r="B129" s="194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</row>
    <row r="130">
      <c r="B130" s="194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</row>
    <row r="131">
      <c r="B131" s="194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</row>
    <row r="132">
      <c r="B132" s="194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</row>
    <row r="133">
      <c r="B133" s="194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</row>
    <row r="134">
      <c r="B134" s="194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</row>
    <row r="135">
      <c r="B135" s="194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</row>
    <row r="136">
      <c r="B136" s="194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</row>
    <row r="137">
      <c r="B137" s="194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</row>
    <row r="138">
      <c r="B138" s="194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</row>
    <row r="139">
      <c r="B139" s="194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</row>
    <row r="140">
      <c r="B140" s="194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</row>
    <row r="141">
      <c r="B141" s="194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</row>
    <row r="142">
      <c r="B142" s="194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</row>
    <row r="143">
      <c r="B143" s="194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</row>
    <row r="144">
      <c r="B144" s="194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</row>
    <row r="145">
      <c r="B145" s="194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</row>
    <row r="146">
      <c r="B146" s="194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</row>
    <row r="147">
      <c r="B147" s="194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</row>
    <row r="148">
      <c r="B148" s="194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</row>
    <row r="149">
      <c r="B149" s="194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</row>
    <row r="150">
      <c r="B150" s="194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</row>
    <row r="151">
      <c r="B151" s="194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</row>
    <row r="152">
      <c r="B152" s="194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</row>
    <row r="153">
      <c r="B153" s="194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</row>
    <row r="154">
      <c r="B154" s="194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</row>
    <row r="155">
      <c r="B155" s="194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</row>
    <row r="156">
      <c r="B156" s="194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</row>
    <row r="157">
      <c r="B157" s="194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</row>
    <row r="158">
      <c r="B158" s="194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</row>
    <row r="159">
      <c r="B159" s="194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</row>
    <row r="160">
      <c r="B160" s="194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</row>
    <row r="161">
      <c r="B161" s="194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</row>
    <row r="162">
      <c r="B162" s="194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</row>
    <row r="163">
      <c r="B163" s="194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</row>
    <row r="164">
      <c r="B164" s="194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</row>
    <row r="165">
      <c r="B165" s="194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</row>
    <row r="166">
      <c r="B166" s="194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</row>
    <row r="167">
      <c r="B167" s="194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</row>
    <row r="168">
      <c r="B168" s="194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</row>
    <row r="169">
      <c r="B169" s="194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</row>
    <row r="170">
      <c r="B170" s="194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</row>
    <row r="171">
      <c r="B171" s="194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</row>
    <row r="172">
      <c r="B172" s="194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</row>
    <row r="173">
      <c r="B173" s="194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</row>
    <row r="174">
      <c r="B174" s="194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</row>
    <row r="175">
      <c r="B175" s="194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</row>
    <row r="176">
      <c r="B176" s="194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</row>
    <row r="177">
      <c r="B177" s="194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</row>
    <row r="178">
      <c r="B178" s="194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</row>
    <row r="179">
      <c r="B179" s="194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</row>
    <row r="180">
      <c r="B180" s="194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</row>
    <row r="181">
      <c r="B181" s="194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</row>
    <row r="182">
      <c r="B182" s="194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</row>
    <row r="183">
      <c r="B183" s="194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</row>
    <row r="184">
      <c r="B184" s="194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</row>
    <row r="185">
      <c r="B185" s="194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</row>
    <row r="186">
      <c r="B186" s="194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</row>
    <row r="187">
      <c r="B187" s="194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</row>
    <row r="188">
      <c r="B188" s="194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</row>
    <row r="189">
      <c r="B189" s="194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</row>
    <row r="190">
      <c r="B190" s="194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</row>
    <row r="191">
      <c r="B191" s="194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</row>
    <row r="192">
      <c r="B192" s="194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</row>
    <row r="193">
      <c r="B193" s="194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</row>
    <row r="194">
      <c r="B194" s="194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</row>
    <row r="195">
      <c r="B195" s="194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</row>
    <row r="196">
      <c r="B196" s="194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</row>
    <row r="197">
      <c r="B197" s="194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</row>
    <row r="198">
      <c r="B198" s="194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</row>
    <row r="199">
      <c r="B199" s="194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</row>
    <row r="200">
      <c r="B200" s="194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</row>
    <row r="201">
      <c r="B201" s="194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</row>
    <row r="202">
      <c r="B202" s="194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</row>
    <row r="203">
      <c r="B203" s="194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</row>
    <row r="204">
      <c r="B204" s="194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</row>
    <row r="205">
      <c r="B205" s="194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</row>
    <row r="206">
      <c r="B206" s="194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</row>
    <row r="207">
      <c r="B207" s="194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</row>
    <row r="208">
      <c r="B208" s="194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</row>
    <row r="209">
      <c r="B209" s="194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</row>
    <row r="210">
      <c r="B210" s="194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</row>
    <row r="211">
      <c r="B211" s="194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</row>
    <row r="212">
      <c r="B212" s="194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</row>
    <row r="213">
      <c r="B213" s="194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</row>
    <row r="214">
      <c r="B214" s="194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</row>
    <row r="215">
      <c r="B215" s="194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</row>
    <row r="216">
      <c r="B216" s="194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</row>
    <row r="217">
      <c r="B217" s="194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</row>
    <row r="218">
      <c r="B218" s="194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</row>
    <row r="219">
      <c r="B219" s="194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</row>
    <row r="220">
      <c r="B220" s="194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</row>
    <row r="221">
      <c r="B221" s="194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</row>
    <row r="222">
      <c r="B222" s="194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</row>
    <row r="223">
      <c r="B223" s="194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</row>
    <row r="224">
      <c r="B224" s="194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</row>
    <row r="225">
      <c r="B225" s="194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</row>
    <row r="226">
      <c r="B226" s="194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</row>
    <row r="227">
      <c r="B227" s="194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</row>
    <row r="228">
      <c r="B228" s="194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</row>
    <row r="229">
      <c r="B229" s="194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</row>
    <row r="230">
      <c r="B230" s="194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</row>
    <row r="231">
      <c r="B231" s="194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</row>
    <row r="232">
      <c r="B232" s="194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</row>
    <row r="233">
      <c r="B233" s="194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</row>
    <row r="234">
      <c r="B234" s="194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</row>
    <row r="235">
      <c r="B235" s="194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</row>
    <row r="236">
      <c r="B236" s="194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</row>
    <row r="237">
      <c r="B237" s="194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</row>
    <row r="238">
      <c r="B238" s="194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</row>
    <row r="239">
      <c r="B239" s="194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</row>
    <row r="240">
      <c r="B240" s="194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</row>
    <row r="241">
      <c r="B241" s="194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</row>
    <row r="242">
      <c r="B242" s="194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</row>
    <row r="243">
      <c r="B243" s="194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</row>
    <row r="244">
      <c r="B244" s="194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</row>
    <row r="245">
      <c r="B245" s="194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</row>
    <row r="246">
      <c r="B246" s="194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</row>
    <row r="247">
      <c r="B247" s="194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</row>
    <row r="248">
      <c r="B248" s="194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</row>
    <row r="249">
      <c r="B249" s="194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</row>
    <row r="250">
      <c r="B250" s="194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</row>
    <row r="251">
      <c r="B251" s="194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</row>
    <row r="252">
      <c r="B252" s="194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</row>
    <row r="253">
      <c r="B253" s="194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</row>
    <row r="254">
      <c r="B254" s="194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</row>
    <row r="255">
      <c r="B255" s="194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</row>
    <row r="256">
      <c r="B256" s="194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</row>
    <row r="257">
      <c r="B257" s="194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</row>
    <row r="258">
      <c r="B258" s="194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</row>
    <row r="259">
      <c r="B259" s="194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</row>
    <row r="260">
      <c r="B260" s="194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</row>
    <row r="261">
      <c r="B261" s="194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</row>
    <row r="262">
      <c r="B262" s="194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</row>
    <row r="263">
      <c r="B263" s="194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</row>
    <row r="264">
      <c r="B264" s="194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</row>
    <row r="265">
      <c r="B265" s="194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</row>
    <row r="266">
      <c r="B266" s="194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</row>
    <row r="267">
      <c r="B267" s="194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</row>
    <row r="268">
      <c r="B268" s="194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</row>
    <row r="269">
      <c r="B269" s="194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</row>
    <row r="270">
      <c r="B270" s="194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</row>
    <row r="271">
      <c r="B271" s="194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</row>
    <row r="272">
      <c r="B272" s="194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</row>
    <row r="273">
      <c r="B273" s="194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</row>
    <row r="274">
      <c r="B274" s="194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</row>
    <row r="275">
      <c r="B275" s="194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</row>
    <row r="276">
      <c r="B276" s="194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</row>
    <row r="277">
      <c r="B277" s="194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</row>
    <row r="278">
      <c r="B278" s="194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</row>
    <row r="279">
      <c r="B279" s="194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</row>
    <row r="280">
      <c r="B280" s="194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</row>
    <row r="281">
      <c r="B281" s="194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</row>
    <row r="282">
      <c r="B282" s="194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</row>
    <row r="283">
      <c r="B283" s="194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</row>
    <row r="284">
      <c r="B284" s="194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</row>
    <row r="285">
      <c r="B285" s="194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</row>
    <row r="286">
      <c r="B286" s="194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</row>
    <row r="287">
      <c r="B287" s="194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</row>
    <row r="288">
      <c r="B288" s="194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</row>
    <row r="289">
      <c r="B289" s="194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</row>
    <row r="290">
      <c r="B290" s="194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</row>
    <row r="291">
      <c r="B291" s="194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</row>
    <row r="292">
      <c r="B292" s="194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</row>
    <row r="293">
      <c r="B293" s="194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</row>
    <row r="294">
      <c r="B294" s="194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</row>
    <row r="295">
      <c r="B295" s="194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</row>
    <row r="296">
      <c r="B296" s="194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</row>
    <row r="297">
      <c r="B297" s="194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</row>
    <row r="298">
      <c r="B298" s="194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</row>
    <row r="299">
      <c r="B299" s="194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</row>
    <row r="300">
      <c r="B300" s="194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</row>
    <row r="301">
      <c r="B301" s="194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</row>
    <row r="302">
      <c r="B302" s="194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</row>
    <row r="303">
      <c r="B303" s="194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</row>
    <row r="304">
      <c r="B304" s="194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</row>
    <row r="305">
      <c r="B305" s="194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</row>
    <row r="306">
      <c r="B306" s="194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</row>
    <row r="307">
      <c r="B307" s="194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</row>
    <row r="308">
      <c r="B308" s="194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</row>
    <row r="309">
      <c r="B309" s="194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</row>
    <row r="310">
      <c r="B310" s="194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</row>
    <row r="311">
      <c r="B311" s="194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</row>
    <row r="312">
      <c r="B312" s="194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</row>
    <row r="313">
      <c r="B313" s="194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</row>
    <row r="314">
      <c r="B314" s="194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</row>
    <row r="315">
      <c r="B315" s="194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</row>
    <row r="316">
      <c r="B316" s="194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</row>
    <row r="317">
      <c r="B317" s="194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</row>
    <row r="318">
      <c r="B318" s="194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</row>
    <row r="319">
      <c r="B319" s="194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</row>
    <row r="320">
      <c r="B320" s="194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</row>
    <row r="321">
      <c r="B321" s="194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</row>
    <row r="322">
      <c r="B322" s="194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</row>
    <row r="323">
      <c r="B323" s="194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</row>
    <row r="324">
      <c r="B324" s="194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</row>
    <row r="325">
      <c r="B325" s="194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</row>
    <row r="326">
      <c r="B326" s="194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</row>
    <row r="327">
      <c r="B327" s="194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</row>
    <row r="328">
      <c r="B328" s="194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</row>
    <row r="329">
      <c r="B329" s="194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</row>
    <row r="330">
      <c r="B330" s="194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</row>
    <row r="331">
      <c r="B331" s="194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</row>
    <row r="332">
      <c r="B332" s="194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</row>
    <row r="333">
      <c r="B333" s="194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</row>
    <row r="334">
      <c r="B334" s="194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</row>
    <row r="335">
      <c r="B335" s="194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</row>
    <row r="336">
      <c r="B336" s="194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</row>
    <row r="337">
      <c r="B337" s="194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</row>
    <row r="338">
      <c r="B338" s="194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</row>
    <row r="339">
      <c r="B339" s="194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</row>
    <row r="340">
      <c r="B340" s="194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</row>
    <row r="341">
      <c r="B341" s="194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</row>
    <row r="342">
      <c r="B342" s="194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</row>
    <row r="343">
      <c r="B343" s="194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</row>
    <row r="344">
      <c r="B344" s="194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</row>
    <row r="345">
      <c r="B345" s="194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</row>
    <row r="346">
      <c r="B346" s="194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</row>
    <row r="347">
      <c r="B347" s="194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</row>
    <row r="348">
      <c r="B348" s="194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</row>
    <row r="349">
      <c r="B349" s="194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</row>
    <row r="350">
      <c r="B350" s="194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</row>
    <row r="351">
      <c r="B351" s="194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</row>
    <row r="352">
      <c r="B352" s="194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</row>
    <row r="353">
      <c r="B353" s="194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</row>
    <row r="354">
      <c r="B354" s="194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</row>
    <row r="355">
      <c r="B355" s="194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</row>
    <row r="356">
      <c r="B356" s="194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</row>
    <row r="357">
      <c r="B357" s="194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</row>
    <row r="358">
      <c r="B358" s="194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</row>
    <row r="359">
      <c r="B359" s="194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</row>
    <row r="360">
      <c r="B360" s="194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</row>
    <row r="361">
      <c r="B361" s="194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</row>
    <row r="362">
      <c r="B362" s="194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</row>
    <row r="363">
      <c r="B363" s="194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</row>
    <row r="364">
      <c r="B364" s="194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</row>
    <row r="365">
      <c r="B365" s="194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</row>
    <row r="366">
      <c r="B366" s="194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</row>
    <row r="367">
      <c r="B367" s="194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</row>
    <row r="368">
      <c r="B368" s="194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</row>
    <row r="369">
      <c r="B369" s="194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</row>
    <row r="370">
      <c r="B370" s="194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</row>
    <row r="371">
      <c r="B371" s="194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</row>
    <row r="372">
      <c r="B372" s="194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</row>
    <row r="373">
      <c r="B373" s="194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</row>
    <row r="374">
      <c r="B374" s="194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</row>
    <row r="375">
      <c r="B375" s="194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</row>
    <row r="376">
      <c r="B376" s="194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</row>
    <row r="377">
      <c r="B377" s="194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</row>
    <row r="378">
      <c r="B378" s="194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</row>
    <row r="379">
      <c r="B379" s="194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</row>
    <row r="380">
      <c r="B380" s="194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</row>
    <row r="381">
      <c r="B381" s="194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</row>
    <row r="382">
      <c r="B382" s="194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</row>
    <row r="383">
      <c r="B383" s="194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</row>
    <row r="384">
      <c r="B384" s="194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</row>
    <row r="385">
      <c r="B385" s="194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</row>
    <row r="386">
      <c r="B386" s="194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</row>
    <row r="387">
      <c r="B387" s="194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</row>
    <row r="388">
      <c r="B388" s="194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</row>
    <row r="389">
      <c r="B389" s="194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</row>
    <row r="390">
      <c r="B390" s="194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</row>
    <row r="391">
      <c r="B391" s="194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</row>
    <row r="392">
      <c r="B392" s="194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</row>
    <row r="393">
      <c r="B393" s="194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</row>
    <row r="394">
      <c r="B394" s="194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</row>
    <row r="395">
      <c r="B395" s="194"/>
    </row>
    <row r="396">
      <c r="B396" s="194"/>
    </row>
    <row r="397">
      <c r="B397" s="194"/>
    </row>
    <row r="398">
      <c r="B398" s="194"/>
    </row>
    <row r="399">
      <c r="B399" s="194"/>
    </row>
    <row r="400">
      <c r="B400" s="194"/>
    </row>
    <row r="401">
      <c r="B401" s="194"/>
    </row>
    <row r="402">
      <c r="B402" s="194"/>
    </row>
    <row r="403">
      <c r="B403" s="194"/>
    </row>
    <row r="404">
      <c r="B404" s="194"/>
    </row>
    <row r="405">
      <c r="B405" s="194"/>
    </row>
    <row r="406">
      <c r="B406" s="194"/>
    </row>
    <row r="407">
      <c r="B407" s="194"/>
    </row>
    <row r="408">
      <c r="B408" s="194"/>
    </row>
    <row r="409">
      <c r="B409" s="194"/>
    </row>
    <row r="410">
      <c r="B410" s="194"/>
    </row>
    <row r="411">
      <c r="B411" s="194"/>
    </row>
    <row r="412">
      <c r="B412" s="194"/>
    </row>
    <row r="413">
      <c r="B413" s="194"/>
    </row>
    <row r="414">
      <c r="B414" s="194"/>
    </row>
    <row r="415">
      <c r="B415" s="194"/>
    </row>
    <row r="416">
      <c r="B416" s="194"/>
    </row>
    <row r="417">
      <c r="B417" s="194"/>
    </row>
    <row r="418">
      <c r="B418" s="194"/>
    </row>
    <row r="419">
      <c r="B419" s="194"/>
    </row>
    <row r="420">
      <c r="B420" s="194"/>
    </row>
    <row r="421">
      <c r="B421" s="194"/>
    </row>
    <row r="422">
      <c r="B422" s="194"/>
    </row>
    <row r="423">
      <c r="B423" s="194"/>
    </row>
    <row r="424">
      <c r="B424" s="194"/>
    </row>
    <row r="425">
      <c r="B425" s="194"/>
    </row>
    <row r="426">
      <c r="B426" s="194"/>
    </row>
    <row r="427">
      <c r="B427" s="194"/>
    </row>
    <row r="428">
      <c r="B428" s="194"/>
    </row>
    <row r="429">
      <c r="B429" s="194"/>
    </row>
    <row r="430">
      <c r="B430" s="194"/>
    </row>
    <row r="431">
      <c r="B431" s="194"/>
    </row>
    <row r="432">
      <c r="B432" s="194"/>
    </row>
    <row r="433">
      <c r="B433" s="194"/>
    </row>
    <row r="434">
      <c r="B434" s="194"/>
    </row>
    <row r="435">
      <c r="B435" s="194"/>
    </row>
    <row r="436">
      <c r="B436" s="194"/>
    </row>
    <row r="437">
      <c r="B437" s="194"/>
    </row>
    <row r="438">
      <c r="B438" s="194"/>
    </row>
    <row r="439">
      <c r="B439" s="194"/>
    </row>
    <row r="440">
      <c r="B440" s="194"/>
    </row>
    <row r="441">
      <c r="B441" s="194"/>
    </row>
    <row r="442">
      <c r="B442" s="194"/>
    </row>
    <row r="443">
      <c r="B443" s="194"/>
    </row>
    <row r="444">
      <c r="B444" s="194"/>
    </row>
    <row r="445">
      <c r="B445" s="194"/>
    </row>
    <row r="446">
      <c r="B446" s="194"/>
    </row>
    <row r="447">
      <c r="B447" s="194"/>
    </row>
    <row r="448">
      <c r="B448" s="194"/>
    </row>
    <row r="449">
      <c r="B449" s="194"/>
    </row>
    <row r="450">
      <c r="B450" s="194"/>
    </row>
    <row r="451">
      <c r="B451" s="194"/>
    </row>
    <row r="452">
      <c r="B452" s="194"/>
    </row>
    <row r="453">
      <c r="B453" s="194"/>
    </row>
    <row r="454">
      <c r="B454" s="194"/>
    </row>
    <row r="455">
      <c r="B455" s="194"/>
    </row>
    <row r="456">
      <c r="B456" s="194"/>
    </row>
    <row r="457">
      <c r="B457" s="194"/>
    </row>
    <row r="458">
      <c r="B458" s="194"/>
    </row>
    <row r="459">
      <c r="B459" s="194"/>
    </row>
    <row r="460">
      <c r="B460" s="194"/>
    </row>
    <row r="461">
      <c r="B461" s="194"/>
    </row>
    <row r="462">
      <c r="B462" s="194"/>
    </row>
    <row r="463">
      <c r="B463" s="194"/>
    </row>
    <row r="464">
      <c r="B464" s="194"/>
    </row>
    <row r="465">
      <c r="B465" s="194"/>
    </row>
    <row r="466">
      <c r="B466" s="194"/>
    </row>
    <row r="467">
      <c r="B467" s="194"/>
    </row>
    <row r="468">
      <c r="B468" s="194"/>
    </row>
    <row r="469">
      <c r="B469" s="194"/>
    </row>
    <row r="470">
      <c r="B470" s="194"/>
    </row>
    <row r="471">
      <c r="B471" s="194"/>
    </row>
    <row r="472">
      <c r="B472" s="194"/>
    </row>
    <row r="473">
      <c r="B473" s="194"/>
    </row>
    <row r="474">
      <c r="B474" s="194"/>
    </row>
    <row r="475">
      <c r="B475" s="194"/>
    </row>
    <row r="476">
      <c r="B476" s="194"/>
    </row>
    <row r="477">
      <c r="B477" s="194"/>
    </row>
    <row r="478">
      <c r="B478" s="194"/>
    </row>
    <row r="479">
      <c r="B479" s="194"/>
    </row>
    <row r="480">
      <c r="B480" s="194"/>
    </row>
    <row r="481">
      <c r="B481" s="194"/>
    </row>
    <row r="482">
      <c r="B482" s="194"/>
    </row>
    <row r="483">
      <c r="B483" s="194"/>
    </row>
    <row r="484">
      <c r="B484" s="194"/>
    </row>
    <row r="485">
      <c r="B485" s="194"/>
    </row>
    <row r="486">
      <c r="B486" s="194"/>
    </row>
    <row r="487">
      <c r="B487" s="194"/>
    </row>
    <row r="488">
      <c r="B488" s="194"/>
    </row>
    <row r="489">
      <c r="B489" s="194"/>
    </row>
    <row r="490">
      <c r="B490" s="194"/>
    </row>
    <row r="491">
      <c r="B491" s="194"/>
    </row>
    <row r="492">
      <c r="B492" s="194"/>
    </row>
    <row r="493">
      <c r="B493" s="194"/>
    </row>
    <row r="494">
      <c r="B494" s="194"/>
    </row>
    <row r="495">
      <c r="B495" s="194"/>
    </row>
    <row r="496">
      <c r="B496" s="194"/>
    </row>
    <row r="497">
      <c r="B497" s="194"/>
    </row>
    <row r="498">
      <c r="B498" s="194"/>
    </row>
    <row r="499">
      <c r="B499" s="194"/>
    </row>
    <row r="500">
      <c r="B500" s="194"/>
    </row>
    <row r="501">
      <c r="B501" s="194"/>
    </row>
    <row r="502">
      <c r="B502" s="194"/>
    </row>
    <row r="503">
      <c r="B503" s="194"/>
    </row>
    <row r="504">
      <c r="B504" s="194"/>
    </row>
    <row r="505">
      <c r="B505" s="194"/>
    </row>
    <row r="506">
      <c r="B506" s="194"/>
    </row>
    <row r="507">
      <c r="B507" s="194"/>
    </row>
    <row r="508">
      <c r="B508" s="194"/>
    </row>
    <row r="509">
      <c r="B509" s="194"/>
    </row>
    <row r="510">
      <c r="B510" s="194"/>
    </row>
    <row r="511">
      <c r="B511" s="194"/>
    </row>
    <row r="512">
      <c r="B512" s="194"/>
    </row>
    <row r="513">
      <c r="B513" s="194"/>
    </row>
    <row r="514">
      <c r="B514" s="194"/>
    </row>
    <row r="515">
      <c r="B515" s="194"/>
    </row>
    <row r="516">
      <c r="B516" s="194"/>
    </row>
    <row r="517">
      <c r="B517" s="194"/>
    </row>
    <row r="518">
      <c r="B518" s="194"/>
    </row>
    <row r="519">
      <c r="B519" s="194"/>
    </row>
    <row r="520">
      <c r="B520" s="194"/>
    </row>
    <row r="521">
      <c r="B521" s="194"/>
    </row>
    <row r="522">
      <c r="B522" s="194"/>
    </row>
    <row r="523">
      <c r="B523" s="194"/>
    </row>
    <row r="524">
      <c r="B524" s="194"/>
    </row>
    <row r="525">
      <c r="B525" s="194"/>
    </row>
    <row r="526">
      <c r="B526" s="194"/>
    </row>
    <row r="527">
      <c r="B527" s="194"/>
    </row>
    <row r="528">
      <c r="B528" s="194"/>
    </row>
    <row r="529">
      <c r="B529" s="194"/>
    </row>
    <row r="530">
      <c r="B530" s="194"/>
    </row>
    <row r="531">
      <c r="B531" s="194"/>
    </row>
    <row r="532">
      <c r="B532" s="194"/>
    </row>
    <row r="533">
      <c r="B533" s="194"/>
    </row>
    <row r="534">
      <c r="B534" s="194"/>
    </row>
    <row r="535">
      <c r="B535" s="194"/>
    </row>
    <row r="536">
      <c r="B536" s="194"/>
    </row>
    <row r="537">
      <c r="B537" s="194"/>
    </row>
    <row r="538">
      <c r="B538" s="194"/>
    </row>
    <row r="539">
      <c r="B539" s="194"/>
    </row>
    <row r="540">
      <c r="B540" s="194"/>
    </row>
    <row r="541">
      <c r="B541" s="194"/>
    </row>
    <row r="542">
      <c r="B542" s="194"/>
    </row>
    <row r="543">
      <c r="B543" s="194"/>
    </row>
    <row r="544">
      <c r="B544" s="194"/>
    </row>
    <row r="545">
      <c r="B545" s="194"/>
    </row>
    <row r="546">
      <c r="B546" s="194"/>
    </row>
    <row r="547">
      <c r="B547" s="194"/>
    </row>
    <row r="548">
      <c r="B548" s="194"/>
    </row>
    <row r="549">
      <c r="B549" s="194"/>
    </row>
    <row r="550">
      <c r="B550" s="194"/>
    </row>
    <row r="551">
      <c r="B551" s="194"/>
    </row>
    <row r="552">
      <c r="B552" s="194"/>
    </row>
    <row r="553">
      <c r="B553" s="194"/>
    </row>
    <row r="554">
      <c r="B554" s="194"/>
    </row>
    <row r="555">
      <c r="B555" s="194"/>
    </row>
    <row r="556">
      <c r="B556" s="194"/>
    </row>
    <row r="557">
      <c r="B557" s="194"/>
    </row>
    <row r="558">
      <c r="B558" s="194"/>
    </row>
    <row r="559">
      <c r="B559" s="194"/>
    </row>
    <row r="560">
      <c r="B560" s="194"/>
    </row>
    <row r="561">
      <c r="B561" s="194"/>
    </row>
    <row r="562">
      <c r="B562" s="194"/>
    </row>
    <row r="563">
      <c r="B563" s="194"/>
    </row>
    <row r="564">
      <c r="B564" s="194"/>
    </row>
    <row r="565">
      <c r="B565" s="194"/>
    </row>
    <row r="566">
      <c r="B566" s="194"/>
    </row>
    <row r="567">
      <c r="B567" s="194"/>
    </row>
    <row r="568">
      <c r="B568" s="194"/>
    </row>
    <row r="569">
      <c r="B569" s="194"/>
    </row>
    <row r="570">
      <c r="B570" s="194"/>
    </row>
    <row r="571">
      <c r="B571" s="194"/>
    </row>
    <row r="572">
      <c r="B572" s="194"/>
    </row>
    <row r="573">
      <c r="B573" s="194"/>
    </row>
    <row r="574">
      <c r="B574" s="194"/>
    </row>
    <row r="575">
      <c r="B575" s="194"/>
    </row>
    <row r="576">
      <c r="B576" s="194"/>
    </row>
    <row r="577">
      <c r="B577" s="194"/>
    </row>
    <row r="578">
      <c r="B578" s="194"/>
    </row>
    <row r="579">
      <c r="B579" s="194"/>
    </row>
    <row r="580">
      <c r="B580" s="194"/>
    </row>
    <row r="581">
      <c r="B581" s="194"/>
    </row>
    <row r="582">
      <c r="B582" s="194"/>
    </row>
    <row r="583">
      <c r="B583" s="194"/>
    </row>
    <row r="584">
      <c r="B584" s="194"/>
    </row>
    <row r="585">
      <c r="B585" s="194"/>
    </row>
    <row r="586">
      <c r="B586" s="194"/>
    </row>
    <row r="587">
      <c r="B587" s="194"/>
    </row>
    <row r="588">
      <c r="B588" s="194"/>
    </row>
    <row r="589">
      <c r="B589" s="194"/>
    </row>
    <row r="590">
      <c r="B590" s="194"/>
    </row>
    <row r="591">
      <c r="B591" s="194"/>
    </row>
    <row r="592">
      <c r="B592" s="194"/>
    </row>
    <row r="593">
      <c r="B593" s="194"/>
    </row>
    <row r="594">
      <c r="B594" s="194"/>
    </row>
    <row r="595">
      <c r="B595" s="194"/>
    </row>
    <row r="596">
      <c r="B596" s="194"/>
    </row>
    <row r="597">
      <c r="B597" s="194"/>
    </row>
    <row r="598">
      <c r="B598" s="194"/>
    </row>
    <row r="599">
      <c r="B599" s="194"/>
    </row>
    <row r="600">
      <c r="B600" s="194"/>
    </row>
    <row r="601">
      <c r="B601" s="194"/>
    </row>
    <row r="602">
      <c r="B602" s="194"/>
    </row>
    <row r="603">
      <c r="B603" s="194"/>
    </row>
    <row r="604">
      <c r="B604" s="194"/>
    </row>
    <row r="605">
      <c r="B605" s="194"/>
    </row>
    <row r="606">
      <c r="B606" s="194"/>
    </row>
    <row r="607">
      <c r="B607" s="194"/>
    </row>
    <row r="608">
      <c r="B608" s="194"/>
    </row>
    <row r="609">
      <c r="B609" s="194"/>
    </row>
    <row r="610">
      <c r="B610" s="194"/>
    </row>
    <row r="611">
      <c r="B611" s="194"/>
    </row>
    <row r="612">
      <c r="B612" s="194"/>
    </row>
    <row r="613">
      <c r="B613" s="194"/>
    </row>
    <row r="614">
      <c r="B614" s="194"/>
    </row>
    <row r="615">
      <c r="B615" s="194"/>
    </row>
    <row r="616">
      <c r="B616" s="194"/>
    </row>
    <row r="617">
      <c r="B617" s="194"/>
    </row>
    <row r="618">
      <c r="B618" s="194"/>
    </row>
    <row r="619">
      <c r="B619" s="194"/>
    </row>
    <row r="620">
      <c r="B620" s="194"/>
    </row>
    <row r="621">
      <c r="B621" s="194"/>
    </row>
    <row r="622">
      <c r="B622" s="194"/>
    </row>
    <row r="623">
      <c r="B623" s="194"/>
    </row>
    <row r="624">
      <c r="B624" s="194"/>
    </row>
    <row r="625">
      <c r="B625" s="194"/>
    </row>
    <row r="626">
      <c r="B626" s="194"/>
    </row>
    <row r="627">
      <c r="B627" s="194"/>
    </row>
    <row r="628">
      <c r="B628" s="194"/>
    </row>
    <row r="629">
      <c r="B629" s="194"/>
    </row>
    <row r="630">
      <c r="B630" s="194"/>
    </row>
    <row r="631">
      <c r="B631" s="194"/>
    </row>
    <row r="632">
      <c r="B632" s="194"/>
    </row>
    <row r="633">
      <c r="B633" s="194"/>
    </row>
    <row r="634">
      <c r="B634" s="194"/>
    </row>
    <row r="635">
      <c r="B635" s="194"/>
    </row>
    <row r="636">
      <c r="B636" s="194"/>
    </row>
    <row r="637">
      <c r="B637" s="194"/>
    </row>
    <row r="638">
      <c r="B638" s="194"/>
    </row>
    <row r="639">
      <c r="B639" s="194"/>
    </row>
    <row r="640">
      <c r="B640" s="194"/>
    </row>
    <row r="641">
      <c r="B641" s="194"/>
    </row>
    <row r="642">
      <c r="B642" s="194"/>
    </row>
    <row r="643">
      <c r="B643" s="194"/>
    </row>
    <row r="644">
      <c r="B644" s="194"/>
    </row>
    <row r="645">
      <c r="B645" s="194"/>
    </row>
    <row r="646">
      <c r="B646" s="194"/>
    </row>
    <row r="647">
      <c r="B647" s="194"/>
    </row>
    <row r="648">
      <c r="B648" s="194"/>
    </row>
    <row r="649">
      <c r="B649" s="194"/>
    </row>
    <row r="650">
      <c r="B650" s="194"/>
    </row>
    <row r="651">
      <c r="B651" s="194"/>
    </row>
    <row r="652">
      <c r="B652" s="194"/>
    </row>
    <row r="653">
      <c r="B653" s="194"/>
    </row>
    <row r="654">
      <c r="B654" s="194"/>
    </row>
    <row r="655">
      <c r="B655" s="194"/>
    </row>
    <row r="656">
      <c r="B656" s="194"/>
    </row>
    <row r="657">
      <c r="B657" s="194"/>
    </row>
    <row r="658">
      <c r="B658" s="194"/>
    </row>
    <row r="659">
      <c r="B659" s="194"/>
    </row>
    <row r="660">
      <c r="B660" s="194"/>
    </row>
    <row r="661">
      <c r="B661" s="194"/>
    </row>
    <row r="662">
      <c r="B662" s="194"/>
    </row>
    <row r="663">
      <c r="B663" s="194"/>
    </row>
    <row r="664">
      <c r="B664" s="194"/>
    </row>
    <row r="665">
      <c r="B665" s="194"/>
    </row>
    <row r="666">
      <c r="B666" s="194"/>
    </row>
    <row r="667">
      <c r="B667" s="194"/>
    </row>
    <row r="668">
      <c r="B668" s="194"/>
    </row>
    <row r="669">
      <c r="B669" s="194"/>
    </row>
    <row r="670">
      <c r="B670" s="194"/>
    </row>
    <row r="671">
      <c r="B671" s="194"/>
    </row>
    <row r="672">
      <c r="B672" s="194"/>
    </row>
    <row r="673">
      <c r="B673" s="194"/>
    </row>
    <row r="674">
      <c r="B674" s="194"/>
    </row>
    <row r="675">
      <c r="B675" s="194"/>
    </row>
    <row r="676">
      <c r="B676" s="194"/>
    </row>
    <row r="677">
      <c r="B677" s="194"/>
    </row>
    <row r="678">
      <c r="B678" s="194"/>
    </row>
    <row r="679">
      <c r="B679" s="194"/>
    </row>
    <row r="680">
      <c r="B680" s="194"/>
    </row>
    <row r="681">
      <c r="B681" s="194"/>
    </row>
    <row r="682">
      <c r="B682" s="194"/>
    </row>
    <row r="683">
      <c r="B683" s="194"/>
    </row>
    <row r="684">
      <c r="B684" s="194"/>
    </row>
    <row r="685">
      <c r="B685" s="194"/>
    </row>
    <row r="686">
      <c r="B686" s="194"/>
    </row>
    <row r="687">
      <c r="B687" s="194"/>
    </row>
    <row r="688">
      <c r="B688" s="194"/>
    </row>
    <row r="689">
      <c r="B689" s="194"/>
    </row>
    <row r="690">
      <c r="B690" s="194"/>
    </row>
    <row r="691">
      <c r="B691" s="194"/>
    </row>
    <row r="692">
      <c r="B692" s="194"/>
    </row>
    <row r="693">
      <c r="B693" s="194"/>
    </row>
    <row r="694">
      <c r="B694" s="194"/>
    </row>
    <row r="695">
      <c r="B695" s="194"/>
    </row>
    <row r="696">
      <c r="B696" s="194"/>
    </row>
    <row r="697">
      <c r="B697" s="194"/>
    </row>
    <row r="698">
      <c r="B698" s="194"/>
    </row>
    <row r="699">
      <c r="B699" s="194"/>
    </row>
    <row r="700">
      <c r="B700" s="194"/>
    </row>
    <row r="701">
      <c r="B701" s="194"/>
    </row>
    <row r="702">
      <c r="B702" s="194"/>
    </row>
    <row r="703">
      <c r="B703" s="194"/>
    </row>
    <row r="704">
      <c r="B704" s="194"/>
    </row>
    <row r="705">
      <c r="B705" s="194"/>
    </row>
    <row r="706">
      <c r="B706" s="194"/>
    </row>
    <row r="707">
      <c r="B707" s="194"/>
    </row>
    <row r="708">
      <c r="B708" s="194"/>
    </row>
    <row r="709">
      <c r="B709" s="194"/>
    </row>
    <row r="710">
      <c r="B710" s="194"/>
    </row>
    <row r="711">
      <c r="B711" s="194"/>
    </row>
    <row r="712">
      <c r="B712" s="194"/>
    </row>
    <row r="713">
      <c r="B713" s="194"/>
    </row>
    <row r="714">
      <c r="B714" s="194"/>
    </row>
    <row r="715">
      <c r="B715" s="194"/>
    </row>
    <row r="716">
      <c r="B716" s="194"/>
    </row>
    <row r="717">
      <c r="B717" s="194"/>
    </row>
    <row r="718">
      <c r="B718" s="194"/>
    </row>
    <row r="719">
      <c r="B719" s="194"/>
    </row>
    <row r="720">
      <c r="B720" s="194"/>
    </row>
    <row r="721">
      <c r="B721" s="194"/>
    </row>
    <row r="722">
      <c r="B722" s="194"/>
    </row>
    <row r="723">
      <c r="B723" s="194"/>
    </row>
    <row r="724">
      <c r="B724" s="194"/>
    </row>
    <row r="725">
      <c r="B725" s="194"/>
    </row>
    <row r="726">
      <c r="B726" s="194"/>
    </row>
    <row r="727">
      <c r="B727" s="194"/>
    </row>
    <row r="728">
      <c r="B728" s="194"/>
    </row>
    <row r="729">
      <c r="B729" s="194"/>
    </row>
    <row r="730">
      <c r="B730" s="194"/>
    </row>
    <row r="731">
      <c r="B731" s="194"/>
    </row>
    <row r="732">
      <c r="B732" s="194"/>
    </row>
    <row r="733">
      <c r="B733" s="194"/>
    </row>
    <row r="734">
      <c r="B734" s="194"/>
    </row>
    <row r="735">
      <c r="B735" s="194"/>
    </row>
    <row r="736">
      <c r="B736" s="194"/>
    </row>
    <row r="737">
      <c r="B737" s="194"/>
    </row>
    <row r="738">
      <c r="B738" s="194"/>
    </row>
    <row r="739">
      <c r="B739" s="194"/>
    </row>
    <row r="740">
      <c r="B740" s="194"/>
    </row>
    <row r="741">
      <c r="B741" s="194"/>
    </row>
    <row r="742">
      <c r="B742" s="194"/>
    </row>
    <row r="743">
      <c r="B743" s="194"/>
    </row>
    <row r="744">
      <c r="B744" s="194"/>
    </row>
    <row r="745">
      <c r="B745" s="194"/>
    </row>
    <row r="746">
      <c r="B746" s="194"/>
    </row>
    <row r="747">
      <c r="B747" s="194"/>
    </row>
    <row r="748">
      <c r="B748" s="194"/>
    </row>
    <row r="749">
      <c r="B749" s="194"/>
    </row>
    <row r="750">
      <c r="B750" s="194"/>
    </row>
    <row r="751">
      <c r="B751" s="194"/>
    </row>
    <row r="752">
      <c r="B752" s="194"/>
    </row>
    <row r="753">
      <c r="B753" s="194"/>
    </row>
    <row r="754">
      <c r="B754" s="194"/>
    </row>
    <row r="755">
      <c r="B755" s="194"/>
    </row>
    <row r="756">
      <c r="B756" s="194"/>
    </row>
    <row r="757">
      <c r="B757" s="194"/>
    </row>
    <row r="758">
      <c r="B758" s="194"/>
    </row>
    <row r="759">
      <c r="B759" s="194"/>
    </row>
    <row r="760">
      <c r="B760" s="194"/>
    </row>
    <row r="761">
      <c r="B761" s="194"/>
    </row>
    <row r="762">
      <c r="B762" s="194"/>
    </row>
    <row r="763">
      <c r="B763" s="194"/>
    </row>
    <row r="764">
      <c r="B764" s="194"/>
    </row>
    <row r="765">
      <c r="B765" s="194"/>
    </row>
    <row r="766">
      <c r="B766" s="194"/>
    </row>
    <row r="767">
      <c r="B767" s="194"/>
    </row>
    <row r="768">
      <c r="B768" s="194"/>
    </row>
    <row r="769">
      <c r="B769" s="194"/>
    </row>
    <row r="770">
      <c r="B770" s="194"/>
    </row>
    <row r="771">
      <c r="B771" s="194"/>
    </row>
    <row r="772">
      <c r="B772" s="194"/>
    </row>
    <row r="773">
      <c r="B773" s="194"/>
    </row>
    <row r="774">
      <c r="B774" s="194"/>
    </row>
    <row r="775">
      <c r="B775" s="194"/>
    </row>
    <row r="776">
      <c r="B776" s="194"/>
    </row>
    <row r="777">
      <c r="B777" s="194"/>
    </row>
    <row r="778">
      <c r="B778" s="194"/>
    </row>
    <row r="779">
      <c r="B779" s="194"/>
    </row>
    <row r="780">
      <c r="B780" s="194"/>
    </row>
    <row r="781">
      <c r="B781" s="194"/>
    </row>
    <row r="782">
      <c r="B782" s="194"/>
    </row>
    <row r="783">
      <c r="B783" s="194"/>
    </row>
    <row r="784">
      <c r="B784" s="194"/>
    </row>
    <row r="785">
      <c r="B785" s="194"/>
    </row>
    <row r="786">
      <c r="B786" s="194"/>
    </row>
    <row r="787">
      <c r="B787" s="194"/>
    </row>
    <row r="788">
      <c r="B788" s="194"/>
    </row>
    <row r="789">
      <c r="B789" s="194"/>
    </row>
    <row r="790">
      <c r="B790" s="194"/>
    </row>
    <row r="791">
      <c r="B791" s="194"/>
    </row>
    <row r="792">
      <c r="B792" s="194"/>
    </row>
    <row r="793">
      <c r="B793" s="194"/>
    </row>
    <row r="794">
      <c r="B794" s="194"/>
    </row>
    <row r="795">
      <c r="B795" s="194"/>
    </row>
    <row r="796">
      <c r="B796" s="194"/>
    </row>
    <row r="797">
      <c r="B797" s="194"/>
    </row>
    <row r="798">
      <c r="B798" s="194"/>
    </row>
    <row r="799">
      <c r="B799" s="194"/>
    </row>
    <row r="800">
      <c r="B800" s="194"/>
    </row>
    <row r="801">
      <c r="B801" s="194"/>
    </row>
    <row r="802">
      <c r="B802" s="194"/>
    </row>
    <row r="803">
      <c r="B803" s="194"/>
    </row>
    <row r="804">
      <c r="B804" s="194"/>
    </row>
    <row r="805">
      <c r="B805" s="194"/>
    </row>
    <row r="806">
      <c r="B806" s="194"/>
    </row>
    <row r="807">
      <c r="B807" s="194"/>
    </row>
    <row r="808">
      <c r="B808" s="194"/>
    </row>
    <row r="809">
      <c r="B809" s="194"/>
    </row>
    <row r="810">
      <c r="B810" s="194"/>
    </row>
    <row r="811">
      <c r="B811" s="194"/>
    </row>
    <row r="812">
      <c r="B812" s="194"/>
    </row>
    <row r="813">
      <c r="B813" s="194"/>
    </row>
    <row r="814">
      <c r="B814" s="194"/>
    </row>
    <row r="815">
      <c r="B815" s="194"/>
    </row>
    <row r="816">
      <c r="B816" s="194"/>
    </row>
    <row r="817">
      <c r="B817" s="194"/>
    </row>
    <row r="818">
      <c r="B818" s="194"/>
    </row>
    <row r="819">
      <c r="B819" s="194"/>
    </row>
    <row r="820">
      <c r="B820" s="194"/>
    </row>
    <row r="821">
      <c r="B821" s="194"/>
    </row>
    <row r="822">
      <c r="B822" s="194"/>
    </row>
    <row r="823">
      <c r="B823" s="194"/>
    </row>
    <row r="824">
      <c r="B824" s="194"/>
    </row>
    <row r="825">
      <c r="B825" s="194"/>
    </row>
    <row r="826">
      <c r="B826" s="194"/>
    </row>
    <row r="827">
      <c r="B827" s="194"/>
    </row>
    <row r="828">
      <c r="B828" s="194"/>
    </row>
    <row r="829">
      <c r="B829" s="194"/>
    </row>
    <row r="830">
      <c r="B830" s="194"/>
    </row>
    <row r="831">
      <c r="B831" s="194"/>
    </row>
    <row r="832">
      <c r="B832" s="194"/>
    </row>
    <row r="833">
      <c r="B833" s="194"/>
    </row>
    <row r="834">
      <c r="B834" s="194"/>
    </row>
    <row r="835">
      <c r="B835" s="194"/>
    </row>
    <row r="836">
      <c r="B836" s="194"/>
    </row>
    <row r="837">
      <c r="B837" s="194"/>
    </row>
    <row r="838">
      <c r="B838" s="194"/>
    </row>
    <row r="839">
      <c r="B839" s="194"/>
    </row>
    <row r="840">
      <c r="B840" s="194"/>
    </row>
    <row r="841">
      <c r="B841" s="194"/>
    </row>
    <row r="842">
      <c r="B842" s="194"/>
    </row>
    <row r="843">
      <c r="B843" s="194"/>
    </row>
    <row r="844">
      <c r="B844" s="194"/>
    </row>
    <row r="845">
      <c r="B845" s="194"/>
    </row>
    <row r="846">
      <c r="B846" s="194"/>
    </row>
    <row r="847">
      <c r="B847" s="194"/>
    </row>
    <row r="848">
      <c r="B848" s="194"/>
    </row>
    <row r="849">
      <c r="B849" s="194"/>
    </row>
    <row r="850">
      <c r="B850" s="194"/>
    </row>
    <row r="851">
      <c r="B851" s="194"/>
    </row>
    <row r="852">
      <c r="B852" s="194"/>
    </row>
    <row r="853">
      <c r="B853" s="194"/>
    </row>
    <row r="854">
      <c r="B854" s="194"/>
    </row>
    <row r="855">
      <c r="B855" s="194"/>
    </row>
    <row r="856">
      <c r="B856" s="194"/>
    </row>
    <row r="857">
      <c r="B857" s="194"/>
    </row>
    <row r="858">
      <c r="B858" s="194"/>
    </row>
    <row r="859">
      <c r="B859" s="194"/>
    </row>
    <row r="860">
      <c r="B860" s="194"/>
    </row>
    <row r="861">
      <c r="B861" s="194"/>
    </row>
    <row r="862">
      <c r="B862" s="194"/>
    </row>
    <row r="863">
      <c r="B863" s="194"/>
    </row>
    <row r="864">
      <c r="B864" s="194"/>
    </row>
    <row r="865">
      <c r="B865" s="194"/>
    </row>
    <row r="866">
      <c r="B866" s="194"/>
    </row>
    <row r="867">
      <c r="B867" s="194"/>
    </row>
    <row r="868">
      <c r="B868" s="194"/>
    </row>
    <row r="869">
      <c r="B869" s="194"/>
    </row>
    <row r="870">
      <c r="B870" s="194"/>
    </row>
    <row r="871">
      <c r="B871" s="194"/>
    </row>
    <row r="872">
      <c r="B872" s="194"/>
    </row>
    <row r="873">
      <c r="B873" s="194"/>
    </row>
    <row r="874">
      <c r="B874" s="194"/>
    </row>
    <row r="875">
      <c r="B875" s="194"/>
    </row>
    <row r="876">
      <c r="B876" s="194"/>
    </row>
    <row r="877">
      <c r="B877" s="194"/>
    </row>
    <row r="878">
      <c r="B878" s="194"/>
    </row>
    <row r="879">
      <c r="B879" s="194"/>
    </row>
    <row r="880">
      <c r="B880" s="194"/>
    </row>
    <row r="881">
      <c r="B881" s="194"/>
    </row>
    <row r="882">
      <c r="B882" s="194"/>
    </row>
    <row r="883">
      <c r="B883" s="194"/>
    </row>
    <row r="884">
      <c r="B884" s="194"/>
    </row>
    <row r="885">
      <c r="B885" s="194"/>
    </row>
    <row r="886">
      <c r="B886" s="194"/>
    </row>
    <row r="887">
      <c r="B887" s="194"/>
    </row>
    <row r="888">
      <c r="B888" s="194"/>
    </row>
    <row r="889">
      <c r="B889" s="194"/>
    </row>
    <row r="890">
      <c r="B890" s="194"/>
    </row>
    <row r="891">
      <c r="B891" s="194"/>
    </row>
    <row r="892">
      <c r="B892" s="194"/>
    </row>
    <row r="893">
      <c r="B893" s="194"/>
    </row>
    <row r="894">
      <c r="B894" s="194"/>
    </row>
    <row r="895">
      <c r="B895" s="194"/>
    </row>
    <row r="896">
      <c r="B896" s="194"/>
    </row>
    <row r="897">
      <c r="B897" s="194"/>
    </row>
    <row r="898">
      <c r="B898" s="194"/>
    </row>
    <row r="899">
      <c r="B899" s="194"/>
    </row>
    <row r="900">
      <c r="B900" s="194"/>
    </row>
    <row r="901">
      <c r="B901" s="194"/>
    </row>
    <row r="902">
      <c r="B902" s="194"/>
    </row>
    <row r="903">
      <c r="B903" s="194"/>
    </row>
    <row r="904">
      <c r="B904" s="194"/>
    </row>
    <row r="905">
      <c r="B905" s="194"/>
    </row>
    <row r="906">
      <c r="B906" s="194"/>
    </row>
    <row r="907">
      <c r="B907" s="194"/>
    </row>
    <row r="908">
      <c r="B908" s="194"/>
    </row>
    <row r="909">
      <c r="B909" s="194"/>
    </row>
    <row r="910">
      <c r="B910" s="194"/>
    </row>
    <row r="911">
      <c r="B911" s="194"/>
    </row>
    <row r="912">
      <c r="B912" s="194"/>
    </row>
    <row r="913">
      <c r="B913" s="194"/>
    </row>
    <row r="914">
      <c r="B914" s="194"/>
    </row>
    <row r="915">
      <c r="B915" s="194"/>
    </row>
    <row r="916">
      <c r="B916" s="194"/>
    </row>
    <row r="917">
      <c r="B917" s="194"/>
    </row>
    <row r="918">
      <c r="B918" s="194"/>
    </row>
    <row r="919">
      <c r="B919" s="194"/>
    </row>
    <row r="920">
      <c r="B920" s="194"/>
    </row>
    <row r="921">
      <c r="B921" s="194"/>
    </row>
    <row r="922">
      <c r="B922" s="194"/>
    </row>
    <row r="923">
      <c r="B923" s="194"/>
    </row>
    <row r="924">
      <c r="B924" s="194"/>
    </row>
    <row r="925">
      <c r="B925" s="194"/>
    </row>
    <row r="926">
      <c r="B926" s="194"/>
    </row>
    <row r="927">
      <c r="B927" s="194"/>
    </row>
    <row r="928">
      <c r="B928" s="194"/>
    </row>
    <row r="929">
      <c r="B929" s="194"/>
    </row>
    <row r="930">
      <c r="B930" s="194"/>
    </row>
    <row r="931">
      <c r="B931" s="194"/>
    </row>
    <row r="932">
      <c r="B932" s="194"/>
    </row>
    <row r="933">
      <c r="B933" s="194"/>
    </row>
    <row r="934">
      <c r="B934" s="194"/>
    </row>
    <row r="935">
      <c r="B935" s="194"/>
    </row>
    <row r="936">
      <c r="B936" s="194"/>
    </row>
    <row r="937">
      <c r="B937" s="194"/>
    </row>
    <row r="938">
      <c r="B938" s="194"/>
    </row>
    <row r="939">
      <c r="B939" s="194"/>
    </row>
    <row r="940">
      <c r="B940" s="194"/>
    </row>
    <row r="941">
      <c r="B941" s="194"/>
    </row>
    <row r="942">
      <c r="B942" s="194"/>
    </row>
    <row r="943">
      <c r="B943" s="194"/>
    </row>
    <row r="944">
      <c r="B944" s="194"/>
    </row>
    <row r="945">
      <c r="B945" s="194"/>
    </row>
    <row r="946">
      <c r="B946" s="194"/>
    </row>
    <row r="947">
      <c r="B947" s="194"/>
    </row>
    <row r="948">
      <c r="B948" s="194"/>
    </row>
    <row r="949">
      <c r="B949" s="194"/>
    </row>
    <row r="950">
      <c r="B950" s="194"/>
    </row>
    <row r="951">
      <c r="B951" s="194"/>
    </row>
    <row r="952">
      <c r="B952" s="194"/>
    </row>
    <row r="953">
      <c r="B953" s="194"/>
    </row>
    <row r="954">
      <c r="B954" s="194"/>
    </row>
    <row r="955">
      <c r="B955" s="194"/>
    </row>
    <row r="956">
      <c r="B956" s="194"/>
    </row>
    <row r="957">
      <c r="B957" s="194"/>
    </row>
    <row r="958">
      <c r="B958" s="194"/>
    </row>
    <row r="959">
      <c r="B959" s="194"/>
    </row>
    <row r="960">
      <c r="B960" s="194"/>
    </row>
    <row r="961">
      <c r="B961" s="194"/>
    </row>
    <row r="962">
      <c r="B962" s="194"/>
    </row>
    <row r="963">
      <c r="B963" s="194"/>
    </row>
    <row r="964">
      <c r="B964" s="194"/>
    </row>
    <row r="965">
      <c r="B965" s="194"/>
    </row>
    <row r="966">
      <c r="B966" s="194"/>
    </row>
    <row r="967">
      <c r="B967" s="194"/>
    </row>
    <row r="968">
      <c r="B968" s="194"/>
    </row>
    <row r="969">
      <c r="B969" s="194"/>
    </row>
    <row r="970">
      <c r="B970" s="194"/>
    </row>
    <row r="971">
      <c r="B971" s="194"/>
    </row>
    <row r="972">
      <c r="B972" s="194"/>
    </row>
    <row r="973">
      <c r="B973" s="194"/>
    </row>
    <row r="974">
      <c r="B974" s="194"/>
    </row>
    <row r="975">
      <c r="B975" s="194"/>
    </row>
    <row r="976">
      <c r="B976" s="194"/>
    </row>
    <row r="977">
      <c r="B977" s="194"/>
    </row>
    <row r="978">
      <c r="B978" s="194"/>
    </row>
    <row r="979">
      <c r="B979" s="194"/>
    </row>
    <row r="980">
      <c r="B980" s="194"/>
    </row>
    <row r="981">
      <c r="B981" s="194"/>
    </row>
    <row r="982">
      <c r="B982" s="194"/>
    </row>
    <row r="983">
      <c r="B983" s="194"/>
    </row>
    <row r="984">
      <c r="B984" s="194"/>
    </row>
    <row r="985">
      <c r="B985" s="194"/>
    </row>
    <row r="986">
      <c r="B986" s="194"/>
    </row>
    <row r="987">
      <c r="B987" s="194"/>
    </row>
    <row r="988">
      <c r="B988" s="194"/>
    </row>
    <row r="989">
      <c r="B989" s="194"/>
    </row>
    <row r="990">
      <c r="B990" s="194"/>
    </row>
    <row r="991">
      <c r="B991" s="194"/>
    </row>
    <row r="992">
      <c r="B992" s="194"/>
    </row>
    <row r="993">
      <c r="B993" s="194"/>
    </row>
    <row r="994">
      <c r="B994" s="194"/>
    </row>
    <row r="995">
      <c r="B995" s="194"/>
    </row>
  </sheetData>
  <mergeCells count="13">
    <mergeCell ref="M1:R1"/>
    <mergeCell ref="M2:R2"/>
    <mergeCell ref="S2:X2"/>
    <mergeCell ref="Y2:AD2"/>
    <mergeCell ref="AE2:AJ2"/>
    <mergeCell ref="AK2:AP2"/>
    <mergeCell ref="A1:B2"/>
    <mergeCell ref="E1:K1"/>
    <mergeCell ref="S1:X1"/>
    <mergeCell ref="Y1:AD1"/>
    <mergeCell ref="AE1:AJ1"/>
    <mergeCell ref="AK1:AP1"/>
    <mergeCell ref="E2:K2"/>
  </mergeCells>
  <hyperlinks>
    <hyperlink r:id="rId1" ref="A3"/>
    <hyperlink r:id="rId2" ref="K3"/>
    <hyperlink r:id="rId3" ref="R3"/>
    <hyperlink r:id="rId4" ref="W3"/>
    <hyperlink r:id="rId5" ref="AC3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6.13"/>
    <col customWidth="1" min="3" max="3" width="14.63"/>
    <col customWidth="1" min="4" max="4" width="13.88"/>
    <col customWidth="1" min="26" max="26" width="14.38"/>
  </cols>
  <sheetData>
    <row r="1">
      <c r="A1" s="1" t="s">
        <v>91</v>
      </c>
      <c r="B1" s="82"/>
      <c r="C1" s="2"/>
      <c r="D1" s="3"/>
      <c r="E1" s="4">
        <v>45803.0</v>
      </c>
      <c r="F1" s="5"/>
      <c r="G1" s="5"/>
      <c r="H1" s="5"/>
      <c r="I1" s="5"/>
      <c r="J1" s="6"/>
      <c r="K1" s="196">
        <v>45897.0</v>
      </c>
      <c r="L1" s="11"/>
      <c r="M1" s="11"/>
      <c r="N1" s="11"/>
      <c r="O1" s="11"/>
      <c r="P1" s="12"/>
      <c r="Q1" s="4">
        <v>46016.0</v>
      </c>
      <c r="R1" s="5"/>
      <c r="S1" s="5"/>
      <c r="T1" s="5"/>
      <c r="U1" s="5"/>
      <c r="V1" s="6"/>
      <c r="W1" s="7">
        <v>46023.0</v>
      </c>
      <c r="X1" s="8"/>
      <c r="Y1" s="8"/>
      <c r="Z1" s="8"/>
      <c r="AA1" s="8"/>
      <c r="AB1" s="9"/>
      <c r="AC1" s="10"/>
      <c r="AD1" s="11"/>
      <c r="AE1" s="11"/>
      <c r="AF1" s="11"/>
      <c r="AG1" s="11"/>
      <c r="AH1" s="12"/>
      <c r="AI1" s="10">
        <v>45962.0</v>
      </c>
      <c r="AJ1" s="11"/>
      <c r="AK1" s="11"/>
      <c r="AL1" s="11"/>
      <c r="AM1" s="11"/>
      <c r="AN1" s="12"/>
    </row>
    <row r="2">
      <c r="A2" s="84"/>
      <c r="B2" s="17"/>
      <c r="C2" s="14"/>
      <c r="D2" s="15"/>
      <c r="E2" s="16" t="s">
        <v>1</v>
      </c>
      <c r="F2" s="17"/>
      <c r="G2" s="17"/>
      <c r="H2" s="17"/>
      <c r="I2" s="17"/>
      <c r="J2" s="18"/>
      <c r="K2" s="226" t="s">
        <v>1</v>
      </c>
      <c r="L2" s="11"/>
      <c r="M2" s="11"/>
      <c r="N2" s="11"/>
      <c r="O2" s="11"/>
      <c r="P2" s="12"/>
      <c r="Q2" s="16" t="s">
        <v>1</v>
      </c>
      <c r="R2" s="17"/>
      <c r="S2" s="17"/>
      <c r="T2" s="17"/>
      <c r="U2" s="17"/>
      <c r="V2" s="18"/>
      <c r="W2" s="16" t="s">
        <v>1</v>
      </c>
      <c r="X2" s="17"/>
      <c r="Y2" s="17"/>
      <c r="Z2" s="17"/>
      <c r="AA2" s="17"/>
      <c r="AB2" s="19"/>
      <c r="AC2" s="20" t="s">
        <v>1</v>
      </c>
      <c r="AD2" s="21"/>
      <c r="AE2" s="21"/>
      <c r="AF2" s="21"/>
      <c r="AG2" s="21"/>
      <c r="AH2" s="22"/>
      <c r="AI2" s="20" t="s">
        <v>1</v>
      </c>
      <c r="AJ2" s="21"/>
      <c r="AK2" s="21"/>
      <c r="AL2" s="21"/>
      <c r="AM2" s="21"/>
      <c r="AN2" s="22"/>
    </row>
    <row r="3">
      <c r="A3" s="23" t="s">
        <v>2</v>
      </c>
      <c r="B3" s="173" t="s">
        <v>3</v>
      </c>
      <c r="C3" s="24" t="s">
        <v>4</v>
      </c>
      <c r="D3" s="24" t="s">
        <v>5</v>
      </c>
      <c r="E3" s="25" t="s">
        <v>282</v>
      </c>
      <c r="F3" s="25" t="s">
        <v>526</v>
      </c>
      <c r="G3" s="25" t="s">
        <v>284</v>
      </c>
      <c r="H3" s="25" t="s">
        <v>527</v>
      </c>
      <c r="I3" s="25" t="s">
        <v>528</v>
      </c>
      <c r="J3" s="25" t="s">
        <v>529</v>
      </c>
      <c r="K3" s="25" t="s">
        <v>530</v>
      </c>
      <c r="L3" s="25" t="s">
        <v>531</v>
      </c>
      <c r="M3" s="25" t="s">
        <v>146</v>
      </c>
      <c r="N3" s="25" t="s">
        <v>532</v>
      </c>
      <c r="O3" s="25" t="s">
        <v>533</v>
      </c>
      <c r="P3" s="25" t="s">
        <v>534</v>
      </c>
      <c r="Q3" s="25" t="s">
        <v>535</v>
      </c>
      <c r="R3" s="25" t="s">
        <v>536</v>
      </c>
      <c r="S3" s="25" t="s">
        <v>146</v>
      </c>
      <c r="T3" s="25" t="s">
        <v>537</v>
      </c>
      <c r="U3" s="227" t="s">
        <v>538</v>
      </c>
      <c r="V3" s="25" t="s">
        <v>539</v>
      </c>
      <c r="W3" s="25" t="s">
        <v>540</v>
      </c>
      <c r="X3" s="25" t="s">
        <v>541</v>
      </c>
      <c r="Y3" s="25" t="s">
        <v>542</v>
      </c>
      <c r="Z3" s="25" t="s">
        <v>543</v>
      </c>
      <c r="AA3" s="227" t="s">
        <v>544</v>
      </c>
      <c r="AB3" s="217" t="s">
        <v>545</v>
      </c>
      <c r="AC3" s="27"/>
      <c r="AD3" s="27"/>
      <c r="AE3" s="27"/>
      <c r="AF3" s="27"/>
      <c r="AG3" s="28"/>
      <c r="AH3" s="28"/>
      <c r="AI3" s="27"/>
      <c r="AJ3" s="27"/>
      <c r="AK3" s="27"/>
      <c r="AL3" s="27"/>
      <c r="AM3" s="28" t="s">
        <v>28</v>
      </c>
      <c r="AN3" s="28" t="s">
        <v>29</v>
      </c>
    </row>
    <row r="4">
      <c r="A4" s="29"/>
      <c r="B4" s="174"/>
      <c r="C4" s="30"/>
      <c r="D4" s="30"/>
      <c r="E4" s="30"/>
      <c r="F4" s="30"/>
      <c r="G4" s="30"/>
      <c r="H4" s="30"/>
      <c r="I4" s="30"/>
      <c r="J4" s="30"/>
      <c r="K4" s="30"/>
      <c r="L4" s="30"/>
      <c r="M4" s="108"/>
      <c r="N4" s="30"/>
      <c r="O4" s="30"/>
      <c r="P4" s="30"/>
      <c r="Q4" s="31"/>
      <c r="R4" s="31"/>
      <c r="S4" s="31"/>
      <c r="T4" s="31"/>
      <c r="U4" s="31"/>
      <c r="V4" s="31"/>
      <c r="W4" s="30"/>
      <c r="X4" s="30"/>
      <c r="Y4" s="30"/>
      <c r="Z4" s="30"/>
      <c r="AA4" s="30"/>
      <c r="AB4" s="30"/>
      <c r="AC4" s="30"/>
      <c r="AD4" s="30"/>
      <c r="AE4" s="30"/>
      <c r="AF4" s="32"/>
      <c r="AG4" s="33"/>
      <c r="AH4" s="33"/>
      <c r="AI4" s="30"/>
      <c r="AJ4" s="30"/>
      <c r="AK4" s="30"/>
      <c r="AL4" s="32"/>
      <c r="AM4" s="33"/>
      <c r="AN4" s="33"/>
    </row>
    <row r="5">
      <c r="A5" s="39">
        <v>1.0</v>
      </c>
      <c r="B5" s="178" t="s">
        <v>546</v>
      </c>
      <c r="C5" s="48" t="s">
        <v>547</v>
      </c>
      <c r="D5" s="48">
        <v>900736.0</v>
      </c>
      <c r="E5" s="39">
        <v>20.0</v>
      </c>
      <c r="F5" s="39">
        <v>20.0</v>
      </c>
      <c r="G5" s="39">
        <v>20.0</v>
      </c>
      <c r="H5" s="39">
        <v>20.0</v>
      </c>
      <c r="I5" s="39">
        <v>15.0</v>
      </c>
      <c r="J5" s="39">
        <v>20.0</v>
      </c>
      <c r="K5" s="39">
        <v>15.0</v>
      </c>
      <c r="L5" s="39">
        <v>15.0</v>
      </c>
      <c r="M5" s="39">
        <v>14.0</v>
      </c>
      <c r="N5" s="39">
        <v>13.0</v>
      </c>
      <c r="O5" s="39">
        <v>15.0</v>
      </c>
      <c r="P5" s="39"/>
      <c r="Q5" s="40">
        <v>15.0</v>
      </c>
      <c r="R5" s="40">
        <v>15.0</v>
      </c>
      <c r="S5" s="40">
        <v>15.0</v>
      </c>
      <c r="T5" s="40">
        <v>15.0</v>
      </c>
      <c r="U5" s="40">
        <v>15.0</v>
      </c>
      <c r="V5" s="40">
        <v>15.0</v>
      </c>
      <c r="W5" s="40">
        <v>99.0</v>
      </c>
      <c r="X5" s="40">
        <v>83.0</v>
      </c>
      <c r="Y5" s="40">
        <v>93.0</v>
      </c>
      <c r="Z5" s="40">
        <v>50.0</v>
      </c>
      <c r="AA5" s="40">
        <v>48.0</v>
      </c>
      <c r="AB5" s="40">
        <v>50.0</v>
      </c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>
      <c r="A6" s="39">
        <v>2.0</v>
      </c>
      <c r="B6" s="178" t="s">
        <v>548</v>
      </c>
      <c r="C6" s="48" t="s">
        <v>549</v>
      </c>
      <c r="D6" s="48">
        <v>900813.0</v>
      </c>
      <c r="E6" s="39">
        <v>20.0</v>
      </c>
      <c r="F6" s="39">
        <v>20.0</v>
      </c>
      <c r="G6" s="39">
        <v>20.0</v>
      </c>
      <c r="H6" s="39">
        <v>20.0</v>
      </c>
      <c r="I6" s="39">
        <v>20.0</v>
      </c>
      <c r="J6" s="39">
        <v>20.0</v>
      </c>
      <c r="K6" s="39">
        <v>15.0</v>
      </c>
      <c r="L6" s="39">
        <v>15.0</v>
      </c>
      <c r="M6" s="39">
        <v>14.0</v>
      </c>
      <c r="N6" s="39">
        <v>15.0</v>
      </c>
      <c r="O6" s="39">
        <v>15.0</v>
      </c>
      <c r="P6" s="39"/>
      <c r="Q6" s="40">
        <v>15.0</v>
      </c>
      <c r="R6" s="40">
        <v>15.0</v>
      </c>
      <c r="S6" s="40">
        <v>15.0</v>
      </c>
      <c r="T6" s="40">
        <v>15.0</v>
      </c>
      <c r="U6" s="40">
        <v>15.0</v>
      </c>
      <c r="V6" s="40">
        <v>15.0</v>
      </c>
      <c r="W6" s="40">
        <v>99.0</v>
      </c>
      <c r="X6" s="40">
        <v>97.0</v>
      </c>
      <c r="Y6" s="40">
        <v>99.0</v>
      </c>
      <c r="Z6" s="40">
        <v>50.0</v>
      </c>
      <c r="AA6" s="40">
        <v>49.0</v>
      </c>
      <c r="AB6" s="40">
        <v>49.0</v>
      </c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>
      <c r="A7" s="39">
        <v>3.0</v>
      </c>
      <c r="B7" s="178" t="s">
        <v>550</v>
      </c>
      <c r="C7" s="48" t="s">
        <v>176</v>
      </c>
      <c r="D7" s="48">
        <v>900931.0</v>
      </c>
      <c r="E7" s="39">
        <v>14.0</v>
      </c>
      <c r="F7" s="39">
        <v>19.0</v>
      </c>
      <c r="G7" s="39">
        <v>15.0</v>
      </c>
      <c r="H7" s="39">
        <v>16.0</v>
      </c>
      <c r="I7" s="39">
        <v>10.0</v>
      </c>
      <c r="J7" s="39">
        <v>19.0</v>
      </c>
      <c r="K7" s="39">
        <v>11.0</v>
      </c>
      <c r="L7" s="39">
        <v>12.0</v>
      </c>
      <c r="M7" s="41">
        <v>7.0</v>
      </c>
      <c r="N7" s="39">
        <v>11.0</v>
      </c>
      <c r="O7" s="39">
        <v>14.0</v>
      </c>
      <c r="P7" s="39"/>
      <c r="Q7" s="40">
        <v>14.0</v>
      </c>
      <c r="R7" s="40">
        <v>15.0</v>
      </c>
      <c r="S7" s="40">
        <v>12.0</v>
      </c>
      <c r="T7" s="40">
        <v>10.0</v>
      </c>
      <c r="U7" s="40">
        <v>14.0</v>
      </c>
      <c r="V7" s="40">
        <v>12.0</v>
      </c>
      <c r="W7" s="40">
        <v>56.0</v>
      </c>
      <c r="X7" s="40">
        <v>57.0</v>
      </c>
      <c r="Y7" s="40">
        <v>84.0</v>
      </c>
      <c r="Z7" s="40">
        <v>38.0</v>
      </c>
      <c r="AA7" s="40">
        <v>36.0</v>
      </c>
      <c r="AB7" s="40">
        <v>36.0</v>
      </c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>
      <c r="A8" s="39">
        <v>4.0</v>
      </c>
      <c r="B8" s="178" t="s">
        <v>551</v>
      </c>
      <c r="C8" s="48" t="s">
        <v>552</v>
      </c>
      <c r="D8" s="48">
        <v>900731.0</v>
      </c>
      <c r="E8" s="39">
        <v>18.0</v>
      </c>
      <c r="F8" s="39">
        <v>20.0</v>
      </c>
      <c r="G8" s="39">
        <v>20.0</v>
      </c>
      <c r="H8" s="39">
        <v>20.0</v>
      </c>
      <c r="I8" s="39">
        <v>14.0</v>
      </c>
      <c r="J8" s="39">
        <v>17.0</v>
      </c>
      <c r="K8" s="39">
        <v>13.0</v>
      </c>
      <c r="L8" s="39">
        <v>12.0</v>
      </c>
      <c r="M8" s="41">
        <v>7.0</v>
      </c>
      <c r="N8" s="39">
        <v>14.0</v>
      </c>
      <c r="O8" s="39">
        <v>14.0</v>
      </c>
      <c r="P8" s="39"/>
      <c r="Q8" s="40">
        <v>13.0</v>
      </c>
      <c r="R8" s="40">
        <v>14.0</v>
      </c>
      <c r="S8" s="40">
        <v>14.0</v>
      </c>
      <c r="T8" s="40">
        <v>11.0</v>
      </c>
      <c r="U8" s="40">
        <v>15.0</v>
      </c>
      <c r="V8" s="40">
        <v>12.0</v>
      </c>
      <c r="W8" s="40">
        <v>88.0</v>
      </c>
      <c r="X8" s="40">
        <v>45.0</v>
      </c>
      <c r="Y8" s="40">
        <v>93.0</v>
      </c>
      <c r="Z8" s="40">
        <v>47.0</v>
      </c>
      <c r="AA8" s="40">
        <v>40.0</v>
      </c>
      <c r="AB8" s="40">
        <v>34.0</v>
      </c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>
      <c r="A9" s="39">
        <v>5.0</v>
      </c>
      <c r="B9" s="178" t="s">
        <v>553</v>
      </c>
      <c r="C9" s="48" t="s">
        <v>552</v>
      </c>
      <c r="D9" s="48">
        <v>900740.0</v>
      </c>
      <c r="E9" s="39">
        <v>20.0</v>
      </c>
      <c r="F9" s="39">
        <v>20.0</v>
      </c>
      <c r="G9" s="39">
        <v>12.0</v>
      </c>
      <c r="H9" s="39">
        <v>20.0</v>
      </c>
      <c r="I9" s="39">
        <v>20.0</v>
      </c>
      <c r="J9" s="39">
        <v>18.0</v>
      </c>
      <c r="K9" s="39">
        <v>11.0</v>
      </c>
      <c r="L9" s="39">
        <v>14.0</v>
      </c>
      <c r="M9" s="39">
        <v>11.0</v>
      </c>
      <c r="N9" s="39">
        <v>13.0</v>
      </c>
      <c r="O9" s="41">
        <v>5.0</v>
      </c>
      <c r="P9" s="39"/>
      <c r="Q9" s="40">
        <v>15.0</v>
      </c>
      <c r="R9" s="40">
        <v>13.0</v>
      </c>
      <c r="S9" s="40">
        <v>14.0</v>
      </c>
      <c r="T9" s="40">
        <v>15.0</v>
      </c>
      <c r="U9" s="40">
        <v>15.0</v>
      </c>
      <c r="V9" s="40">
        <v>14.0</v>
      </c>
      <c r="W9" s="40">
        <v>73.0</v>
      </c>
      <c r="X9" s="40">
        <v>45.0</v>
      </c>
      <c r="Y9" s="40">
        <v>75.0</v>
      </c>
      <c r="Z9" s="40">
        <v>25.0</v>
      </c>
      <c r="AA9" s="40">
        <v>43.0</v>
      </c>
      <c r="AB9" s="40">
        <v>36.0</v>
      </c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>
      <c r="A10" s="39">
        <v>6.0</v>
      </c>
      <c r="B10" s="178" t="s">
        <v>554</v>
      </c>
      <c r="C10" s="48" t="s">
        <v>555</v>
      </c>
      <c r="D10" s="48">
        <v>900513.0</v>
      </c>
      <c r="E10" s="41">
        <v>10.0</v>
      </c>
      <c r="F10" s="41">
        <v>20.0</v>
      </c>
      <c r="G10" s="41">
        <v>15.0</v>
      </c>
      <c r="H10" s="39">
        <v>7.0</v>
      </c>
      <c r="I10" s="39">
        <v>10.0</v>
      </c>
      <c r="J10" s="39">
        <v>14.0</v>
      </c>
      <c r="K10" s="39">
        <v>10.0</v>
      </c>
      <c r="L10" s="39">
        <v>12.0</v>
      </c>
      <c r="M10" s="41">
        <v>7.0</v>
      </c>
      <c r="N10" s="39">
        <v>5.0</v>
      </c>
      <c r="O10" s="41">
        <v>6.0</v>
      </c>
      <c r="P10" s="39"/>
      <c r="Q10" s="40">
        <v>12.0</v>
      </c>
      <c r="R10" s="40">
        <v>13.0</v>
      </c>
      <c r="S10" s="40">
        <v>10.0</v>
      </c>
      <c r="T10" s="40">
        <v>13.0</v>
      </c>
      <c r="U10" s="40">
        <v>12.0</v>
      </c>
      <c r="V10" s="40">
        <v>13.0</v>
      </c>
      <c r="W10" s="40">
        <v>57.0</v>
      </c>
      <c r="X10" s="40">
        <v>78.0</v>
      </c>
      <c r="Y10" s="40">
        <v>74.0</v>
      </c>
      <c r="Z10" s="40">
        <v>30.0</v>
      </c>
      <c r="AA10" s="40">
        <v>33.0</v>
      </c>
      <c r="AB10" s="40">
        <v>40.0</v>
      </c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>
      <c r="A11" s="39">
        <v>7.0</v>
      </c>
      <c r="B11" s="178" t="s">
        <v>556</v>
      </c>
      <c r="C11" s="48" t="s">
        <v>557</v>
      </c>
      <c r="D11" s="48">
        <v>900572.0</v>
      </c>
      <c r="E11" s="41">
        <v>15.0</v>
      </c>
      <c r="F11" s="41">
        <v>20.0</v>
      </c>
      <c r="G11" s="41">
        <v>12.0</v>
      </c>
      <c r="H11" s="39">
        <v>18.0</v>
      </c>
      <c r="I11" s="39">
        <v>14.0</v>
      </c>
      <c r="J11" s="39">
        <v>19.0</v>
      </c>
      <c r="K11" s="39">
        <v>14.0</v>
      </c>
      <c r="L11" s="39">
        <v>11.0</v>
      </c>
      <c r="M11" s="39">
        <v>10.0</v>
      </c>
      <c r="N11" s="39">
        <v>5.0</v>
      </c>
      <c r="O11" s="39">
        <v>14.0</v>
      </c>
      <c r="P11" s="39"/>
      <c r="Q11" s="40">
        <v>12.0</v>
      </c>
      <c r="R11" s="40">
        <v>12.0</v>
      </c>
      <c r="S11" s="40">
        <v>14.0</v>
      </c>
      <c r="T11" s="40">
        <v>15.0</v>
      </c>
      <c r="U11" s="40">
        <v>14.0</v>
      </c>
      <c r="V11" s="40">
        <v>12.0</v>
      </c>
      <c r="W11" s="40">
        <v>78.0</v>
      </c>
      <c r="X11" s="40">
        <v>60.0</v>
      </c>
      <c r="Y11" s="40">
        <v>75.0</v>
      </c>
      <c r="Z11" s="40">
        <v>44.0</v>
      </c>
      <c r="AA11" s="40">
        <v>45.0</v>
      </c>
      <c r="AB11" s="40">
        <v>30.0</v>
      </c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</row>
    <row r="12">
      <c r="A12" s="39">
        <v>8.0</v>
      </c>
      <c r="B12" s="178" t="s">
        <v>558</v>
      </c>
      <c r="C12" s="48" t="s">
        <v>559</v>
      </c>
      <c r="D12" s="48">
        <v>900250.0</v>
      </c>
      <c r="E12" s="41">
        <v>10.0</v>
      </c>
      <c r="F12" s="41">
        <v>20.0</v>
      </c>
      <c r="G12" s="41">
        <v>18.0</v>
      </c>
      <c r="H12" s="39">
        <v>5.0</v>
      </c>
      <c r="I12" s="39">
        <v>13.0</v>
      </c>
      <c r="J12" s="39">
        <v>12.0</v>
      </c>
      <c r="K12" s="39">
        <v>10.0</v>
      </c>
      <c r="L12" s="39">
        <v>12.0</v>
      </c>
      <c r="M12" s="39">
        <v>13.0</v>
      </c>
      <c r="N12" s="39">
        <v>12.0</v>
      </c>
      <c r="O12" s="39">
        <v>14.0</v>
      </c>
      <c r="P12" s="39"/>
      <c r="Q12" s="40">
        <v>8.0</v>
      </c>
      <c r="R12" s="40">
        <v>9.0</v>
      </c>
      <c r="S12" s="40">
        <v>11.0</v>
      </c>
      <c r="T12" s="40">
        <v>15.0</v>
      </c>
      <c r="U12" s="40">
        <v>10.0</v>
      </c>
      <c r="V12" s="40">
        <v>11.0</v>
      </c>
      <c r="W12" s="40">
        <v>80.0</v>
      </c>
      <c r="X12" s="40">
        <v>75.0</v>
      </c>
      <c r="Y12" s="40">
        <v>85.0</v>
      </c>
      <c r="Z12" s="40">
        <v>27.0</v>
      </c>
      <c r="AA12" s="40">
        <v>32.0</v>
      </c>
      <c r="AB12" s="40">
        <v>27.0</v>
      </c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</row>
    <row r="13">
      <c r="A13" s="39">
        <v>9.0</v>
      </c>
      <c r="B13" s="178" t="s">
        <v>560</v>
      </c>
      <c r="C13" s="48" t="s">
        <v>561</v>
      </c>
      <c r="D13" s="48">
        <v>900677.0</v>
      </c>
      <c r="E13" s="41">
        <v>10.0</v>
      </c>
      <c r="F13" s="41">
        <v>10.0</v>
      </c>
      <c r="G13" s="41">
        <v>9.0</v>
      </c>
      <c r="H13" s="39">
        <v>2.0</v>
      </c>
      <c r="I13" s="39">
        <v>2.0</v>
      </c>
      <c r="J13" s="39">
        <v>6.0</v>
      </c>
      <c r="K13" s="41">
        <v>7.0</v>
      </c>
      <c r="L13" s="41">
        <v>6.0</v>
      </c>
      <c r="M13" s="41">
        <v>5.0</v>
      </c>
      <c r="N13" s="41">
        <v>2.0</v>
      </c>
      <c r="O13" s="40">
        <v>12.0</v>
      </c>
      <c r="P13" s="39"/>
      <c r="Q13" s="40">
        <v>14.0</v>
      </c>
      <c r="R13" s="40">
        <v>8.0</v>
      </c>
      <c r="S13" s="40">
        <v>10.0</v>
      </c>
      <c r="T13" s="40">
        <v>14.0</v>
      </c>
      <c r="U13" s="40">
        <v>12.0</v>
      </c>
      <c r="V13" s="40">
        <v>9.0</v>
      </c>
      <c r="W13" s="40">
        <v>42.0</v>
      </c>
      <c r="X13" s="40">
        <v>41.0</v>
      </c>
      <c r="Y13" s="40">
        <v>58.0</v>
      </c>
      <c r="Z13" s="40">
        <v>27.0</v>
      </c>
      <c r="AA13" s="40">
        <v>26.0</v>
      </c>
      <c r="AB13" s="40">
        <v>28.0</v>
      </c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</row>
    <row r="14">
      <c r="A14" s="39">
        <v>10.0</v>
      </c>
      <c r="B14" s="178" t="s">
        <v>562</v>
      </c>
      <c r="C14" s="48" t="s">
        <v>563</v>
      </c>
      <c r="D14" s="48">
        <v>900381.0</v>
      </c>
      <c r="E14" s="41">
        <v>8.0</v>
      </c>
      <c r="F14" s="41" t="s">
        <v>32</v>
      </c>
      <c r="G14" s="41">
        <v>9.0</v>
      </c>
      <c r="H14" s="39">
        <v>10.0</v>
      </c>
      <c r="I14" s="39">
        <v>12.0</v>
      </c>
      <c r="J14" s="39">
        <v>5.0</v>
      </c>
      <c r="K14" s="41">
        <v>5.0</v>
      </c>
      <c r="L14" s="41">
        <v>6.0</v>
      </c>
      <c r="M14" s="41">
        <v>7.0</v>
      </c>
      <c r="N14" s="41">
        <v>1.0</v>
      </c>
      <c r="O14" s="41">
        <v>0.0</v>
      </c>
      <c r="P14" s="39"/>
      <c r="Q14" s="41">
        <v>7.0</v>
      </c>
      <c r="R14" s="40">
        <v>8.0</v>
      </c>
      <c r="S14" s="40">
        <v>9.0</v>
      </c>
      <c r="T14" s="40">
        <v>10.0</v>
      </c>
      <c r="U14" s="40">
        <v>11.0</v>
      </c>
      <c r="V14" s="40">
        <v>9.0</v>
      </c>
      <c r="W14" s="41">
        <v>21.0</v>
      </c>
      <c r="X14" s="41">
        <v>17.0</v>
      </c>
      <c r="Y14" s="40">
        <v>46.0</v>
      </c>
      <c r="Z14" s="40">
        <v>25.0</v>
      </c>
      <c r="AA14" s="41">
        <v>19.0</v>
      </c>
      <c r="AB14" s="41">
        <v>15.0</v>
      </c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</row>
    <row r="15">
      <c r="A15" s="39">
        <v>11.0</v>
      </c>
      <c r="B15" s="178" t="s">
        <v>564</v>
      </c>
      <c r="C15" s="48" t="s">
        <v>557</v>
      </c>
      <c r="D15" s="48">
        <v>900573.0</v>
      </c>
      <c r="E15" s="41">
        <v>14.0</v>
      </c>
      <c r="F15" s="41">
        <v>12.0</v>
      </c>
      <c r="G15" s="41">
        <v>12.0</v>
      </c>
      <c r="H15" s="39">
        <v>2.0</v>
      </c>
      <c r="I15" s="39">
        <v>10.0</v>
      </c>
      <c r="J15" s="39">
        <v>7.0</v>
      </c>
      <c r="K15" s="41">
        <v>6.0</v>
      </c>
      <c r="L15" s="39">
        <v>13.0</v>
      </c>
      <c r="M15" s="41">
        <v>7.0</v>
      </c>
      <c r="N15" s="41">
        <v>2.0</v>
      </c>
      <c r="O15" s="41">
        <v>5.0</v>
      </c>
      <c r="P15" s="39"/>
      <c r="Q15" s="40">
        <v>8.0</v>
      </c>
      <c r="R15" s="40">
        <v>7.0</v>
      </c>
      <c r="S15" s="40">
        <v>11.0</v>
      </c>
      <c r="T15" s="40">
        <v>14.0</v>
      </c>
      <c r="U15" s="40">
        <v>8.0</v>
      </c>
      <c r="V15" s="40">
        <v>8.0</v>
      </c>
      <c r="W15" s="40">
        <v>40.0</v>
      </c>
      <c r="X15" s="40">
        <v>41.0</v>
      </c>
      <c r="Y15" s="40">
        <v>55.0</v>
      </c>
      <c r="Z15" s="40">
        <v>28.0</v>
      </c>
      <c r="AA15" s="40">
        <v>27.0</v>
      </c>
      <c r="AB15" s="40">
        <v>26.0</v>
      </c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</row>
    <row r="16">
      <c r="A16" s="39">
        <v>12.0</v>
      </c>
      <c r="B16" s="178" t="s">
        <v>565</v>
      </c>
      <c r="C16" s="48" t="s">
        <v>566</v>
      </c>
      <c r="D16" s="48">
        <v>900197.0</v>
      </c>
      <c r="E16" s="41">
        <v>7.0</v>
      </c>
      <c r="F16" s="41">
        <v>18.0</v>
      </c>
      <c r="G16" s="41">
        <v>10.0</v>
      </c>
      <c r="H16" s="39">
        <v>4.0</v>
      </c>
      <c r="I16" s="39">
        <v>10.0</v>
      </c>
      <c r="J16" s="39">
        <v>13.0</v>
      </c>
      <c r="K16" s="41">
        <v>5.0</v>
      </c>
      <c r="L16" s="41">
        <v>4.0</v>
      </c>
      <c r="M16" s="41">
        <v>2.0</v>
      </c>
      <c r="N16" s="41">
        <v>0.0</v>
      </c>
      <c r="O16" s="41">
        <v>0.0</v>
      </c>
      <c r="P16" s="39"/>
      <c r="Q16" s="40">
        <v>11.0</v>
      </c>
      <c r="R16" s="40">
        <v>10.0</v>
      </c>
      <c r="S16" s="40">
        <v>9.0</v>
      </c>
      <c r="T16" s="40">
        <v>14.0</v>
      </c>
      <c r="U16" s="40">
        <v>9.0</v>
      </c>
      <c r="V16" s="40">
        <v>13.0</v>
      </c>
      <c r="W16" s="40">
        <v>50.0</v>
      </c>
      <c r="X16" s="40">
        <v>66.0</v>
      </c>
      <c r="Y16" s="40">
        <v>49.0</v>
      </c>
      <c r="Z16" s="40">
        <v>28.0</v>
      </c>
      <c r="AA16" s="40">
        <v>25.0</v>
      </c>
      <c r="AB16" s="40">
        <v>37.0</v>
      </c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</row>
    <row r="17">
      <c r="A17" s="39">
        <v>13.0</v>
      </c>
      <c r="B17" s="178" t="s">
        <v>567</v>
      </c>
      <c r="C17" s="48" t="s">
        <v>568</v>
      </c>
      <c r="D17" s="48">
        <v>900507.0</v>
      </c>
      <c r="E17" s="39">
        <v>14.0</v>
      </c>
      <c r="F17" s="39">
        <v>19.0</v>
      </c>
      <c r="G17" s="39">
        <v>17.0</v>
      </c>
      <c r="H17" s="39">
        <v>14.0</v>
      </c>
      <c r="I17" s="39">
        <v>12.0</v>
      </c>
      <c r="J17" s="39">
        <v>11.0</v>
      </c>
      <c r="K17" s="39">
        <v>10.0</v>
      </c>
      <c r="L17" s="39">
        <v>8.0</v>
      </c>
      <c r="M17" s="39">
        <v>10.0</v>
      </c>
      <c r="N17" s="39">
        <v>12.0</v>
      </c>
      <c r="O17" s="39">
        <v>14.0</v>
      </c>
      <c r="P17" s="39"/>
      <c r="Q17" s="40">
        <v>13.0</v>
      </c>
      <c r="R17" s="40">
        <v>13.0</v>
      </c>
      <c r="S17" s="40">
        <v>10.0</v>
      </c>
      <c r="T17" s="40">
        <v>14.0</v>
      </c>
      <c r="U17" s="40">
        <v>14.0</v>
      </c>
      <c r="V17" s="40">
        <v>14.0</v>
      </c>
      <c r="W17" s="40">
        <v>95.0</v>
      </c>
      <c r="X17" s="40">
        <v>50.0</v>
      </c>
      <c r="Y17" s="40">
        <v>58.0</v>
      </c>
      <c r="Z17" s="40">
        <v>46.0</v>
      </c>
      <c r="AA17" s="40">
        <v>49.0</v>
      </c>
      <c r="AB17" s="40">
        <v>47.0</v>
      </c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>
      <c r="A18" s="39">
        <v>14.0</v>
      </c>
      <c r="B18" s="207" t="s">
        <v>569</v>
      </c>
      <c r="C18" s="39" t="s">
        <v>570</v>
      </c>
      <c r="D18" s="39">
        <v>900397.0</v>
      </c>
      <c r="E18" s="39">
        <v>13.0</v>
      </c>
      <c r="F18" s="39">
        <v>8.0</v>
      </c>
      <c r="G18" s="39" t="s">
        <v>32</v>
      </c>
      <c r="H18" s="39" t="s">
        <v>32</v>
      </c>
      <c r="I18" s="39">
        <v>8.0</v>
      </c>
      <c r="J18" s="39">
        <v>5.0</v>
      </c>
      <c r="K18" s="41">
        <v>3.0</v>
      </c>
      <c r="L18" s="41">
        <v>3.0</v>
      </c>
      <c r="M18" s="39">
        <v>8.0</v>
      </c>
      <c r="N18" s="39">
        <v>10.0</v>
      </c>
      <c r="O18" s="41">
        <v>2.0</v>
      </c>
      <c r="P18" s="39"/>
      <c r="Q18" s="41">
        <v>7.0</v>
      </c>
      <c r="R18" s="40">
        <v>13.0</v>
      </c>
      <c r="S18" s="40">
        <v>11.0</v>
      </c>
      <c r="T18" s="40">
        <v>14.0</v>
      </c>
      <c r="U18" s="40">
        <v>12.0</v>
      </c>
      <c r="V18" s="40">
        <v>11.0</v>
      </c>
      <c r="W18" s="40">
        <v>73.0</v>
      </c>
      <c r="X18" s="40">
        <v>42.0</v>
      </c>
      <c r="Y18" s="40">
        <v>50.0</v>
      </c>
      <c r="Z18" s="40">
        <v>42.0</v>
      </c>
      <c r="AA18" s="40">
        <v>43.0</v>
      </c>
      <c r="AB18" s="40">
        <v>25.0</v>
      </c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</row>
    <row r="19">
      <c r="A19" s="39">
        <v>15.0</v>
      </c>
      <c r="B19" s="178" t="s">
        <v>571</v>
      </c>
      <c r="C19" s="48" t="s">
        <v>572</v>
      </c>
      <c r="D19" s="48">
        <v>900606.0</v>
      </c>
      <c r="E19" s="39">
        <v>17.0</v>
      </c>
      <c r="F19" s="39">
        <v>16.0</v>
      </c>
      <c r="G19" s="39">
        <v>14.0</v>
      </c>
      <c r="H19" s="39">
        <v>12.0</v>
      </c>
      <c r="I19" s="39">
        <v>10.0</v>
      </c>
      <c r="J19" s="39">
        <v>10.0</v>
      </c>
      <c r="K19" s="39">
        <v>8.0</v>
      </c>
      <c r="L19" s="39">
        <v>13.0</v>
      </c>
      <c r="M19" s="39">
        <v>10.0</v>
      </c>
      <c r="N19" s="39">
        <v>11.0</v>
      </c>
      <c r="O19" s="41">
        <v>3.0</v>
      </c>
      <c r="P19" s="39"/>
      <c r="Q19" s="40">
        <v>15.0</v>
      </c>
      <c r="R19" s="40">
        <v>14.0</v>
      </c>
      <c r="S19" s="40">
        <v>12.0</v>
      </c>
      <c r="T19" s="40">
        <v>15.0</v>
      </c>
      <c r="U19" s="40">
        <v>15.0</v>
      </c>
      <c r="V19" s="40">
        <v>12.0</v>
      </c>
      <c r="W19" s="40">
        <v>85.0</v>
      </c>
      <c r="X19" s="40">
        <v>61.0</v>
      </c>
      <c r="Y19" s="40">
        <v>71.0</v>
      </c>
      <c r="Z19" s="40">
        <v>36.0</v>
      </c>
      <c r="AA19" s="40">
        <v>48.0</v>
      </c>
      <c r="AB19" s="40">
        <v>30.0</v>
      </c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</row>
    <row r="20">
      <c r="A20" s="39">
        <v>16.0</v>
      </c>
      <c r="B20" s="178" t="s">
        <v>573</v>
      </c>
      <c r="C20" s="48" t="s">
        <v>574</v>
      </c>
      <c r="D20" s="48">
        <v>900320.0</v>
      </c>
      <c r="E20" s="39" t="s">
        <v>32</v>
      </c>
      <c r="F20" s="39">
        <v>8.0</v>
      </c>
      <c r="G20" s="39">
        <v>11.0</v>
      </c>
      <c r="H20" s="39">
        <v>2.0</v>
      </c>
      <c r="I20" s="39">
        <v>10.0</v>
      </c>
      <c r="J20" s="39">
        <v>2.0</v>
      </c>
      <c r="K20" s="41">
        <v>5.0</v>
      </c>
      <c r="L20" s="41">
        <v>3.0</v>
      </c>
      <c r="M20" s="39">
        <v>8.0</v>
      </c>
      <c r="N20" s="41" t="s">
        <v>32</v>
      </c>
      <c r="O20" s="41" t="s">
        <v>32</v>
      </c>
      <c r="P20" s="39"/>
      <c r="Q20" s="41">
        <v>7.0</v>
      </c>
      <c r="R20" s="40">
        <v>8.0</v>
      </c>
      <c r="S20" s="40">
        <v>10.0</v>
      </c>
      <c r="T20" s="40">
        <v>9.0</v>
      </c>
      <c r="U20" s="40">
        <v>13.0</v>
      </c>
      <c r="V20" s="40">
        <v>9.0</v>
      </c>
      <c r="W20" s="41">
        <v>17.0</v>
      </c>
      <c r="X20" s="41">
        <v>32.0</v>
      </c>
      <c r="Y20" s="40">
        <v>44.0</v>
      </c>
      <c r="Z20" s="40">
        <v>27.0</v>
      </c>
      <c r="AA20" s="41">
        <v>19.0</v>
      </c>
      <c r="AB20" s="40">
        <v>26.0</v>
      </c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</row>
    <row r="21">
      <c r="A21" s="39">
        <v>17.0</v>
      </c>
      <c r="B21" s="178" t="s">
        <v>575</v>
      </c>
      <c r="C21" s="48" t="s">
        <v>576</v>
      </c>
      <c r="D21" s="48">
        <v>900283.0</v>
      </c>
      <c r="E21" s="39">
        <v>20.0</v>
      </c>
      <c r="F21" s="39">
        <v>20.0</v>
      </c>
      <c r="G21" s="39">
        <v>20.0</v>
      </c>
      <c r="H21" s="39">
        <v>20.0</v>
      </c>
      <c r="I21" s="39">
        <v>20.0</v>
      </c>
      <c r="J21" s="39">
        <v>20.0</v>
      </c>
      <c r="K21" s="39">
        <v>15.0</v>
      </c>
      <c r="L21" s="39">
        <v>15.0</v>
      </c>
      <c r="M21" s="39">
        <v>14.0</v>
      </c>
      <c r="N21" s="39">
        <v>14.0</v>
      </c>
      <c r="O21" s="39">
        <v>15.0</v>
      </c>
      <c r="P21" s="39"/>
      <c r="Q21" s="40">
        <v>15.0</v>
      </c>
      <c r="R21" s="40">
        <v>15.0</v>
      </c>
      <c r="S21" s="40">
        <v>15.0</v>
      </c>
      <c r="T21" s="40">
        <v>15.0</v>
      </c>
      <c r="U21" s="40">
        <v>15.0</v>
      </c>
      <c r="V21" s="40">
        <v>15.0</v>
      </c>
      <c r="W21" s="40">
        <v>99.0</v>
      </c>
      <c r="X21" s="40">
        <v>98.0</v>
      </c>
      <c r="Y21" s="40">
        <v>94.0</v>
      </c>
      <c r="Z21" s="40">
        <v>50.0</v>
      </c>
      <c r="AA21" s="40">
        <v>49.0</v>
      </c>
      <c r="AB21" s="40">
        <v>49.0</v>
      </c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</row>
    <row r="22">
      <c r="A22" s="39">
        <v>18.0</v>
      </c>
      <c r="B22" s="178" t="s">
        <v>271</v>
      </c>
      <c r="C22" s="48" t="s">
        <v>577</v>
      </c>
      <c r="D22" s="48">
        <v>900186.0</v>
      </c>
      <c r="E22" s="39">
        <v>11.0</v>
      </c>
      <c r="F22" s="39">
        <v>18.0</v>
      </c>
      <c r="G22" s="39">
        <v>16.0</v>
      </c>
      <c r="H22" s="39">
        <v>6.0</v>
      </c>
      <c r="I22" s="39">
        <v>10.0</v>
      </c>
      <c r="J22" s="39">
        <v>16.0</v>
      </c>
      <c r="K22" s="39">
        <v>9.0</v>
      </c>
      <c r="L22" s="39">
        <v>10.0</v>
      </c>
      <c r="M22" s="39">
        <v>11.0</v>
      </c>
      <c r="N22" s="39">
        <v>12.0</v>
      </c>
      <c r="O22" s="41">
        <v>4.0</v>
      </c>
      <c r="P22" s="39"/>
      <c r="Q22" s="40">
        <v>10.0</v>
      </c>
      <c r="R22" s="40">
        <v>15.0</v>
      </c>
      <c r="S22" s="40">
        <v>12.0</v>
      </c>
      <c r="T22" s="40">
        <v>12.0</v>
      </c>
      <c r="U22" s="40">
        <v>12.0</v>
      </c>
      <c r="V22" s="40">
        <v>12.0</v>
      </c>
      <c r="W22" s="40">
        <v>67.0</v>
      </c>
      <c r="X22" s="40">
        <v>67.0</v>
      </c>
      <c r="Y22" s="40">
        <v>50.0</v>
      </c>
      <c r="Z22" s="40">
        <v>29.0</v>
      </c>
      <c r="AA22" s="40">
        <v>28.0</v>
      </c>
      <c r="AB22" s="40">
        <v>40.0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</row>
    <row r="23">
      <c r="A23" s="39">
        <v>19.0</v>
      </c>
      <c r="B23" s="207" t="s">
        <v>578</v>
      </c>
      <c r="C23" s="39" t="s">
        <v>355</v>
      </c>
      <c r="D23" s="39">
        <v>900503.0</v>
      </c>
      <c r="E23" s="39">
        <v>11.0</v>
      </c>
      <c r="F23" s="39">
        <v>20.0</v>
      </c>
      <c r="G23" s="39">
        <v>15.0</v>
      </c>
      <c r="H23" s="39">
        <v>10.0</v>
      </c>
      <c r="I23" s="39">
        <v>6.0</v>
      </c>
      <c r="J23" s="39">
        <v>20.0</v>
      </c>
      <c r="K23" s="39">
        <v>12.0</v>
      </c>
      <c r="L23" s="39">
        <v>13.0</v>
      </c>
      <c r="M23" s="39">
        <v>9.0</v>
      </c>
      <c r="N23" s="39">
        <v>12.0</v>
      </c>
      <c r="O23" s="41">
        <v>6.0</v>
      </c>
      <c r="P23" s="39"/>
      <c r="Q23" s="40">
        <v>14.0</v>
      </c>
      <c r="R23" s="40">
        <v>15.0</v>
      </c>
      <c r="S23" s="40">
        <v>10.0</v>
      </c>
      <c r="T23" s="40">
        <v>15.0</v>
      </c>
      <c r="U23" s="40">
        <v>15.0</v>
      </c>
      <c r="V23" s="40">
        <v>15.0</v>
      </c>
      <c r="W23" s="40">
        <v>70.0</v>
      </c>
      <c r="X23" s="40">
        <v>94.0</v>
      </c>
      <c r="Y23" s="40">
        <v>86.0</v>
      </c>
      <c r="Z23" s="40">
        <v>37.0</v>
      </c>
      <c r="AA23" s="40">
        <v>43.0</v>
      </c>
      <c r="AB23" s="40">
        <v>46.0</v>
      </c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</row>
    <row r="24">
      <c r="A24" s="39">
        <v>20.0</v>
      </c>
      <c r="B24" s="176" t="s">
        <v>579</v>
      </c>
      <c r="C24" s="34" t="s">
        <v>580</v>
      </c>
      <c r="D24" s="34">
        <v>901122.0</v>
      </c>
      <c r="E24" s="76">
        <v>19.0</v>
      </c>
      <c r="F24" s="76">
        <v>20.0</v>
      </c>
      <c r="G24" s="76">
        <v>20.0</v>
      </c>
      <c r="H24" s="76">
        <v>19.0</v>
      </c>
      <c r="I24" s="76">
        <v>14.0</v>
      </c>
      <c r="J24" s="46">
        <v>20.0</v>
      </c>
      <c r="K24" s="46">
        <v>13.0</v>
      </c>
      <c r="L24" s="46">
        <v>14.0</v>
      </c>
      <c r="M24" s="46">
        <v>10.0</v>
      </c>
      <c r="N24" s="46">
        <v>15.0</v>
      </c>
      <c r="O24" s="46">
        <v>8.0</v>
      </c>
      <c r="P24" s="46"/>
      <c r="Q24" s="228">
        <v>10.0</v>
      </c>
      <c r="R24" s="45">
        <v>12.0</v>
      </c>
      <c r="S24" s="45">
        <v>14.0</v>
      </c>
      <c r="T24" s="45">
        <v>12.0</v>
      </c>
      <c r="U24" s="45">
        <v>15.0</v>
      </c>
      <c r="V24" s="45">
        <v>13.0</v>
      </c>
      <c r="W24" s="45">
        <v>69.0</v>
      </c>
      <c r="X24" s="45">
        <v>70.0</v>
      </c>
      <c r="Y24" s="45">
        <v>77.0</v>
      </c>
      <c r="Z24" s="45">
        <v>45.0</v>
      </c>
      <c r="AA24" s="45">
        <v>36.0</v>
      </c>
      <c r="AB24" s="40">
        <v>37.0</v>
      </c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</row>
    <row r="25">
      <c r="A25" s="39">
        <v>21.0</v>
      </c>
      <c r="B25" s="176" t="s">
        <v>581</v>
      </c>
      <c r="C25" s="34" t="s">
        <v>582</v>
      </c>
      <c r="D25" s="34">
        <v>900351.0</v>
      </c>
      <c r="E25" s="76" t="s">
        <v>32</v>
      </c>
      <c r="F25" s="76">
        <v>20.0</v>
      </c>
      <c r="G25" s="76">
        <v>14.0</v>
      </c>
      <c r="H25" s="76">
        <v>10.0</v>
      </c>
      <c r="I25" s="76">
        <v>11.0</v>
      </c>
      <c r="J25" s="46">
        <v>17.0</v>
      </c>
      <c r="K25" s="46">
        <v>14.0</v>
      </c>
      <c r="L25" s="46">
        <v>13.0</v>
      </c>
      <c r="M25" s="46">
        <v>8.0</v>
      </c>
      <c r="N25" s="46">
        <v>15.0</v>
      </c>
      <c r="O25" s="46">
        <v>8.0</v>
      </c>
      <c r="P25" s="46"/>
      <c r="Q25" s="45">
        <v>14.0</v>
      </c>
      <c r="R25" s="45">
        <v>12.0</v>
      </c>
      <c r="S25" s="45">
        <v>10.0</v>
      </c>
      <c r="T25" s="45">
        <v>15.0</v>
      </c>
      <c r="U25" s="45">
        <v>12.0</v>
      </c>
      <c r="V25" s="45">
        <v>13.0</v>
      </c>
      <c r="W25" s="45">
        <v>70.0</v>
      </c>
      <c r="X25" s="45">
        <v>86.0</v>
      </c>
      <c r="Y25" s="45">
        <v>75.0</v>
      </c>
      <c r="Z25" s="45">
        <v>35.0</v>
      </c>
      <c r="AA25" s="45">
        <v>45.0</v>
      </c>
      <c r="AB25" s="40">
        <v>36.0</v>
      </c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</row>
    <row r="26">
      <c r="A26" s="39">
        <v>22.0</v>
      </c>
      <c r="B26" s="176" t="s">
        <v>583</v>
      </c>
      <c r="C26" s="34"/>
      <c r="D26" s="34">
        <v>900523.0</v>
      </c>
      <c r="E26" s="76">
        <v>11.0</v>
      </c>
      <c r="F26" s="76">
        <v>8.0</v>
      </c>
      <c r="G26" s="76">
        <v>5.0</v>
      </c>
      <c r="H26" s="76">
        <v>5.0</v>
      </c>
      <c r="I26" s="76">
        <v>5.0</v>
      </c>
      <c r="J26" s="46" t="s">
        <v>32</v>
      </c>
      <c r="K26" s="46">
        <v>8.0</v>
      </c>
      <c r="L26" s="43">
        <v>5.0</v>
      </c>
      <c r="M26" s="46">
        <v>10.0</v>
      </c>
      <c r="N26" s="43">
        <v>1.0</v>
      </c>
      <c r="O26" s="43">
        <v>2.0</v>
      </c>
      <c r="P26" s="46"/>
      <c r="Q26" s="43">
        <v>5.0</v>
      </c>
      <c r="R26" s="43">
        <v>6.0</v>
      </c>
      <c r="S26" s="43">
        <v>6.0</v>
      </c>
      <c r="T26" s="45">
        <v>9.0</v>
      </c>
      <c r="U26" s="45">
        <v>10.0</v>
      </c>
      <c r="V26" s="45">
        <v>12.0</v>
      </c>
      <c r="W26" s="43">
        <v>15.0</v>
      </c>
      <c r="X26" s="45">
        <v>40.0</v>
      </c>
      <c r="Y26" s="45">
        <v>42.0</v>
      </c>
      <c r="Z26" s="43">
        <v>18.0</v>
      </c>
      <c r="AA26" s="45">
        <v>27.0</v>
      </c>
      <c r="AB26" s="40">
        <v>25.0</v>
      </c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</row>
    <row r="27">
      <c r="A27" s="39">
        <v>23.0</v>
      </c>
      <c r="B27" s="176" t="s">
        <v>584</v>
      </c>
      <c r="C27" s="34"/>
      <c r="D27" s="34"/>
      <c r="E27" s="47"/>
      <c r="F27" s="47"/>
      <c r="G27" s="47"/>
      <c r="H27" s="47"/>
      <c r="I27" s="47"/>
      <c r="J27" s="46"/>
      <c r="K27" s="46"/>
      <c r="L27" s="46"/>
      <c r="M27" s="87"/>
      <c r="N27" s="46"/>
      <c r="O27" s="46"/>
      <c r="P27" s="46"/>
      <c r="Q27" s="43">
        <v>2.0</v>
      </c>
      <c r="R27" s="43">
        <v>4.0</v>
      </c>
      <c r="S27" s="43">
        <v>2.0</v>
      </c>
      <c r="T27" s="43">
        <v>6.0</v>
      </c>
      <c r="U27" s="43">
        <v>7.0</v>
      </c>
      <c r="V27" s="43">
        <v>3.0</v>
      </c>
      <c r="W27" s="43">
        <v>16.0</v>
      </c>
      <c r="X27" s="43">
        <v>10.0</v>
      </c>
      <c r="Y27" s="45">
        <v>45.0</v>
      </c>
      <c r="Z27" s="45">
        <v>26.0</v>
      </c>
      <c r="AA27" s="45">
        <v>23.0</v>
      </c>
      <c r="AB27" s="41">
        <v>19.0</v>
      </c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>
      <c r="A28" s="39"/>
      <c r="B28" s="86" t="s">
        <v>85</v>
      </c>
      <c r="C28" s="34"/>
      <c r="D28" s="86" t="s">
        <v>85</v>
      </c>
      <c r="E28" s="56">
        <f t="shared" ref="E28:J28" si="1">SUM(E5:E26)</f>
        <v>282</v>
      </c>
      <c r="F28" s="56">
        <f t="shared" si="1"/>
        <v>356</v>
      </c>
      <c r="G28" s="56">
        <f t="shared" si="1"/>
        <v>304</v>
      </c>
      <c r="H28" s="56">
        <f t="shared" si="1"/>
        <v>242</v>
      </c>
      <c r="I28" s="56">
        <f t="shared" si="1"/>
        <v>256</v>
      </c>
      <c r="J28" s="56">
        <f t="shared" si="1"/>
        <v>291</v>
      </c>
      <c r="K28" s="64">
        <f t="shared" ref="K28:P28" si="2">SUM(K3:K26)</f>
        <v>219</v>
      </c>
      <c r="L28" s="64">
        <f t="shared" si="2"/>
        <v>229</v>
      </c>
      <c r="M28" s="64">
        <f t="shared" si="2"/>
        <v>202</v>
      </c>
      <c r="N28" s="64">
        <f t="shared" si="2"/>
        <v>195</v>
      </c>
      <c r="O28" s="64">
        <f t="shared" si="2"/>
        <v>176</v>
      </c>
      <c r="P28" s="64">
        <f t="shared" si="2"/>
        <v>0</v>
      </c>
      <c r="Q28" s="64">
        <f t="shared" ref="Q28:AB28" si="3">SUM(Q5:Q27)</f>
        <v>256</v>
      </c>
      <c r="R28" s="56">
        <f t="shared" si="3"/>
        <v>266</v>
      </c>
      <c r="S28" s="56">
        <f t="shared" si="3"/>
        <v>256</v>
      </c>
      <c r="T28" s="56">
        <f t="shared" si="3"/>
        <v>297</v>
      </c>
      <c r="U28" s="56">
        <f t="shared" si="3"/>
        <v>290</v>
      </c>
      <c r="V28" s="56">
        <f t="shared" si="3"/>
        <v>272</v>
      </c>
      <c r="W28" s="64">
        <f t="shared" si="3"/>
        <v>1459</v>
      </c>
      <c r="X28" s="64">
        <f t="shared" si="3"/>
        <v>1355</v>
      </c>
      <c r="Y28" s="64">
        <f t="shared" si="3"/>
        <v>1578</v>
      </c>
      <c r="Z28" s="64">
        <f t="shared" si="3"/>
        <v>810</v>
      </c>
      <c r="AA28" s="64">
        <f t="shared" si="3"/>
        <v>833</v>
      </c>
      <c r="AB28" s="64">
        <f t="shared" si="3"/>
        <v>788</v>
      </c>
      <c r="AC28" s="56"/>
      <c r="AD28" s="56"/>
      <c r="AE28" s="56"/>
      <c r="AF28" s="56"/>
      <c r="AG28" s="42"/>
      <c r="AH28" s="42"/>
      <c r="AI28" s="42"/>
      <c r="AJ28" s="42"/>
      <c r="AK28" s="42"/>
      <c r="AL28" s="42"/>
      <c r="AM28" s="42"/>
      <c r="AN28" s="42"/>
    </row>
    <row r="29">
      <c r="B29" s="61" t="s">
        <v>86</v>
      </c>
      <c r="D29" s="61" t="s">
        <v>86</v>
      </c>
      <c r="E29" s="229">
        <f>E28/E33</f>
        <v>10.44444444</v>
      </c>
      <c r="F29" s="56">
        <f t="shared" ref="F29:J29" si="4">F27/F33</f>
        <v>0</v>
      </c>
      <c r="G29" s="56">
        <f t="shared" si="4"/>
        <v>0</v>
      </c>
      <c r="H29" s="56">
        <f t="shared" si="4"/>
        <v>0</v>
      </c>
      <c r="I29" s="56">
        <f t="shared" si="4"/>
        <v>0</v>
      </c>
      <c r="J29" s="56">
        <f t="shared" si="4"/>
        <v>0</v>
      </c>
      <c r="K29" s="59">
        <f t="shared" ref="K29:O29" si="5">K28/K33</f>
        <v>9.125</v>
      </c>
      <c r="L29" s="59">
        <f t="shared" si="5"/>
        <v>9.541666667</v>
      </c>
      <c r="M29" s="59">
        <f t="shared" si="5"/>
        <v>8.416666667</v>
      </c>
      <c r="N29" s="59">
        <f t="shared" si="5"/>
        <v>8.47826087</v>
      </c>
      <c r="O29" s="59">
        <f t="shared" si="5"/>
        <v>7.652173913</v>
      </c>
      <c r="P29" s="59"/>
      <c r="Q29" s="59">
        <f t="shared" ref="Q29:V29" si="6">Q28/Q33</f>
        <v>11.13043478</v>
      </c>
      <c r="R29" s="59">
        <f t="shared" si="6"/>
        <v>11.56521739</v>
      </c>
      <c r="S29" s="59">
        <f t="shared" si="6"/>
        <v>11.13043478</v>
      </c>
      <c r="T29" s="59">
        <f t="shared" si="6"/>
        <v>12.91304348</v>
      </c>
      <c r="U29" s="59">
        <f t="shared" si="6"/>
        <v>12.60869565</v>
      </c>
      <c r="V29" s="59">
        <f t="shared" si="6"/>
        <v>11.82608696</v>
      </c>
      <c r="W29" s="59">
        <f t="shared" ref="W29:AB29" si="7">AVERAGE(W28/W33)</f>
        <v>63.43478261</v>
      </c>
      <c r="X29" s="59">
        <f t="shared" si="7"/>
        <v>58.91304348</v>
      </c>
      <c r="Y29" s="59">
        <f t="shared" si="7"/>
        <v>68.60869565</v>
      </c>
      <c r="Z29" s="59">
        <f t="shared" si="7"/>
        <v>35.2173913</v>
      </c>
      <c r="AA29" s="59">
        <f t="shared" si="7"/>
        <v>36.2173913</v>
      </c>
      <c r="AB29" s="59">
        <f t="shared" si="7"/>
        <v>34.26086957</v>
      </c>
      <c r="AC29" s="56"/>
      <c r="AD29" s="56"/>
      <c r="AE29" s="56"/>
      <c r="AF29" s="56"/>
      <c r="AG29" s="42"/>
      <c r="AH29" s="42"/>
      <c r="AI29" s="42"/>
      <c r="AJ29" s="42"/>
      <c r="AK29" s="42"/>
      <c r="AL29" s="42"/>
      <c r="AM29" s="42"/>
      <c r="AN29" s="42"/>
    </row>
    <row r="30">
      <c r="B30" s="61" t="s">
        <v>87</v>
      </c>
      <c r="D30" s="61" t="s">
        <v>87</v>
      </c>
      <c r="E30" s="64">
        <v>29.0</v>
      </c>
      <c r="F30" s="56"/>
      <c r="G30" s="56"/>
      <c r="H30" s="56"/>
      <c r="I30" s="56"/>
      <c r="J30" s="56"/>
      <c r="K30" s="64">
        <v>24.0</v>
      </c>
      <c r="L30" s="64">
        <v>24.0</v>
      </c>
      <c r="M30" s="64">
        <v>24.0</v>
      </c>
      <c r="N30" s="64">
        <v>24.0</v>
      </c>
      <c r="O30" s="64">
        <v>24.0</v>
      </c>
      <c r="P30" s="64">
        <v>24.0</v>
      </c>
      <c r="Q30" s="64">
        <v>23.0</v>
      </c>
      <c r="R30" s="64">
        <v>23.0</v>
      </c>
      <c r="S30" s="64">
        <v>23.0</v>
      </c>
      <c r="T30" s="64">
        <v>23.0</v>
      </c>
      <c r="U30" s="64">
        <v>23.0</v>
      </c>
      <c r="V30" s="64">
        <v>23.0</v>
      </c>
      <c r="W30" s="64">
        <v>23.0</v>
      </c>
      <c r="X30" s="64">
        <v>23.0</v>
      </c>
      <c r="Y30" s="64">
        <v>23.0</v>
      </c>
      <c r="Z30" s="64">
        <v>23.0</v>
      </c>
      <c r="AA30" s="64">
        <v>23.0</v>
      </c>
      <c r="AB30" s="64">
        <v>23.0</v>
      </c>
      <c r="AC30" s="56"/>
      <c r="AD30" s="56"/>
      <c r="AE30" s="56"/>
      <c r="AF30" s="56"/>
      <c r="AG30" s="42"/>
      <c r="AH30" s="42"/>
      <c r="AI30" s="42"/>
      <c r="AJ30" s="42"/>
      <c r="AK30" s="42"/>
      <c r="AL30" s="42"/>
      <c r="AM30" s="42"/>
      <c r="AN30" s="42"/>
    </row>
    <row r="31">
      <c r="B31" s="61" t="s">
        <v>88</v>
      </c>
      <c r="D31" s="61" t="s">
        <v>88</v>
      </c>
      <c r="E31" s="64">
        <v>23.0</v>
      </c>
      <c r="F31" s="64">
        <v>24.0</v>
      </c>
      <c r="G31" s="64">
        <v>26.0</v>
      </c>
      <c r="H31" s="64">
        <v>16.0</v>
      </c>
      <c r="I31" s="64">
        <v>22.0</v>
      </c>
      <c r="J31" s="64">
        <v>20.0</v>
      </c>
      <c r="K31" s="64">
        <v>18.0</v>
      </c>
      <c r="L31" s="65">
        <v>17.0</v>
      </c>
      <c r="M31" s="65">
        <v>16.0</v>
      </c>
      <c r="N31" s="65">
        <v>17.0</v>
      </c>
      <c r="O31" s="65">
        <v>12.0</v>
      </c>
      <c r="P31" s="57"/>
      <c r="Q31" s="64">
        <v>18.0</v>
      </c>
      <c r="R31" s="64">
        <v>21.0</v>
      </c>
      <c r="S31" s="64">
        <v>21.0</v>
      </c>
      <c r="T31" s="64">
        <v>22.0</v>
      </c>
      <c r="U31" s="64">
        <v>22.0</v>
      </c>
      <c r="V31" s="64">
        <v>22.0</v>
      </c>
      <c r="W31" s="64">
        <v>19.0</v>
      </c>
      <c r="X31" s="64">
        <v>20.0</v>
      </c>
      <c r="Y31" s="64">
        <v>23.0</v>
      </c>
      <c r="Z31" s="64">
        <v>22.0</v>
      </c>
      <c r="AA31" s="64">
        <v>21.0</v>
      </c>
      <c r="AB31" s="64">
        <v>21.0</v>
      </c>
      <c r="AC31" s="56"/>
      <c r="AD31" s="56"/>
      <c r="AE31" s="56"/>
      <c r="AF31" s="56"/>
      <c r="AG31" s="42"/>
      <c r="AH31" s="42"/>
      <c r="AI31" s="42"/>
      <c r="AJ31" s="42"/>
      <c r="AK31" s="42"/>
      <c r="AL31" s="42"/>
      <c r="AM31" s="42"/>
      <c r="AN31" s="42"/>
    </row>
    <row r="32">
      <c r="A32" s="81"/>
      <c r="B32" s="61" t="s">
        <v>89</v>
      </c>
      <c r="C32" s="96"/>
      <c r="D32" s="61" t="s">
        <v>89</v>
      </c>
      <c r="E32" s="68">
        <v>4.0</v>
      </c>
      <c r="F32" s="68">
        <v>4.0</v>
      </c>
      <c r="G32" s="68">
        <v>2.0</v>
      </c>
      <c r="H32" s="68">
        <v>12.0</v>
      </c>
      <c r="I32" s="68">
        <v>7.0</v>
      </c>
      <c r="J32" s="68">
        <v>8.0</v>
      </c>
      <c r="K32" s="69">
        <v>6.0</v>
      </c>
      <c r="L32" s="69">
        <v>7.0</v>
      </c>
      <c r="M32" s="69">
        <v>8.0</v>
      </c>
      <c r="N32" s="69">
        <v>6.0</v>
      </c>
      <c r="O32" s="69">
        <v>11.0</v>
      </c>
      <c r="P32" s="69"/>
      <c r="Q32" s="72">
        <v>5.0</v>
      </c>
      <c r="R32" s="72">
        <v>2.0</v>
      </c>
      <c r="S32" s="72">
        <v>2.0</v>
      </c>
      <c r="T32" s="72">
        <v>1.0</v>
      </c>
      <c r="U32" s="72">
        <v>1.0</v>
      </c>
      <c r="V32" s="72">
        <v>1.0</v>
      </c>
      <c r="W32" s="72">
        <v>4.0</v>
      </c>
      <c r="X32" s="72">
        <v>3.0</v>
      </c>
      <c r="Y32" s="72">
        <v>0.0</v>
      </c>
      <c r="Z32" s="94">
        <v>1.0</v>
      </c>
      <c r="AA32" s="94">
        <v>2.0</v>
      </c>
      <c r="AB32" s="94">
        <v>2.0</v>
      </c>
      <c r="AC32" s="56"/>
      <c r="AD32" s="56"/>
      <c r="AE32" s="56"/>
      <c r="AF32" s="56"/>
      <c r="AG32" s="47"/>
      <c r="AH32" s="47"/>
      <c r="AI32" s="47"/>
      <c r="AJ32" s="47"/>
      <c r="AK32" s="47"/>
      <c r="AL32" s="47"/>
      <c r="AM32" s="47"/>
      <c r="AN32" s="47"/>
    </row>
    <row r="33">
      <c r="A33" s="81"/>
      <c r="B33" s="61" t="s">
        <v>90</v>
      </c>
      <c r="C33" s="66"/>
      <c r="D33" s="61" t="s">
        <v>90</v>
      </c>
      <c r="E33" s="68">
        <v>27.0</v>
      </c>
      <c r="F33" s="68">
        <v>28.0</v>
      </c>
      <c r="G33" s="68">
        <v>28.0</v>
      </c>
      <c r="H33" s="68">
        <v>28.0</v>
      </c>
      <c r="I33" s="68">
        <v>29.0</v>
      </c>
      <c r="J33" s="68">
        <v>28.0</v>
      </c>
      <c r="K33" s="69">
        <v>24.0</v>
      </c>
      <c r="L33" s="69">
        <v>24.0</v>
      </c>
      <c r="M33" s="69">
        <v>24.0</v>
      </c>
      <c r="N33" s="69">
        <v>23.0</v>
      </c>
      <c r="O33" s="69">
        <v>23.0</v>
      </c>
      <c r="P33" s="69"/>
      <c r="Q33" s="68">
        <v>23.0</v>
      </c>
      <c r="R33" s="68">
        <v>23.0</v>
      </c>
      <c r="S33" s="68">
        <v>23.0</v>
      </c>
      <c r="T33" s="68">
        <v>23.0</v>
      </c>
      <c r="U33" s="68">
        <v>23.0</v>
      </c>
      <c r="V33" s="68">
        <v>23.0</v>
      </c>
      <c r="W33" s="65">
        <v>23.0</v>
      </c>
      <c r="X33" s="65">
        <v>23.0</v>
      </c>
      <c r="Y33" s="65">
        <v>23.0</v>
      </c>
      <c r="Z33" s="65">
        <v>23.0</v>
      </c>
      <c r="AA33" s="64">
        <v>23.0</v>
      </c>
      <c r="AB33" s="64">
        <v>23.0</v>
      </c>
      <c r="AC33" s="56"/>
      <c r="AD33" s="56"/>
      <c r="AE33" s="56"/>
      <c r="AF33" s="56"/>
      <c r="AG33" s="47"/>
      <c r="AH33" s="47"/>
      <c r="AI33" s="47"/>
      <c r="AJ33" s="47"/>
      <c r="AK33" s="47"/>
      <c r="AL33" s="47"/>
      <c r="AM33" s="47"/>
      <c r="AN33" s="47"/>
    </row>
    <row r="34">
      <c r="B34" s="230"/>
      <c r="C34" s="66"/>
      <c r="D34" s="66"/>
      <c r="E34" s="188"/>
      <c r="F34" s="188"/>
      <c r="G34" s="188"/>
      <c r="H34" s="188"/>
      <c r="I34" s="188"/>
      <c r="J34" s="188"/>
      <c r="K34" s="231"/>
      <c r="L34" s="232"/>
      <c r="M34" s="232"/>
      <c r="N34" s="231"/>
      <c r="O34" s="231"/>
      <c r="P34" s="232"/>
      <c r="Q34" s="163"/>
      <c r="R34" s="163"/>
      <c r="S34" s="163"/>
      <c r="T34" s="163"/>
      <c r="U34" s="163"/>
      <c r="V34" s="163"/>
      <c r="W34" s="68"/>
      <c r="X34" s="68"/>
      <c r="Y34" s="68"/>
      <c r="Z34" s="64"/>
      <c r="AA34" s="56"/>
      <c r="AB34" s="56"/>
      <c r="AC34" s="56"/>
      <c r="AD34" s="56"/>
      <c r="AE34" s="56"/>
      <c r="AF34" s="56"/>
      <c r="AG34" s="42"/>
      <c r="AH34" s="42"/>
      <c r="AI34" s="42"/>
      <c r="AJ34" s="42"/>
      <c r="AK34" s="42"/>
      <c r="AL34" s="42"/>
      <c r="AM34" s="42"/>
      <c r="AN34" s="42"/>
    </row>
    <row r="35">
      <c r="B35" s="225"/>
      <c r="C35" s="66"/>
      <c r="D35" s="66"/>
      <c r="E35" s="66"/>
      <c r="F35" s="66"/>
      <c r="G35" s="66"/>
      <c r="H35" s="66"/>
      <c r="I35" s="78"/>
      <c r="J35" s="78"/>
      <c r="K35" s="233"/>
      <c r="L35" s="234"/>
      <c r="M35" s="234"/>
      <c r="N35" s="233"/>
      <c r="O35" s="233"/>
      <c r="P35" s="234"/>
      <c r="Q35" s="78"/>
      <c r="R35" s="78"/>
      <c r="S35" s="79"/>
      <c r="T35" s="79"/>
      <c r="U35" s="79"/>
      <c r="V35" s="79"/>
      <c r="W35" s="66"/>
      <c r="X35" s="66"/>
      <c r="Y35" s="66"/>
      <c r="Z35" s="66"/>
      <c r="AA35" s="47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</row>
    <row r="36">
      <c r="B36" s="225"/>
      <c r="C36" s="66"/>
      <c r="D36" s="66"/>
      <c r="E36" s="66"/>
      <c r="F36" s="66"/>
      <c r="G36" s="66"/>
      <c r="H36" s="66"/>
      <c r="I36" s="66"/>
      <c r="J36" s="78"/>
      <c r="K36" s="233"/>
      <c r="L36" s="234"/>
      <c r="M36" s="234"/>
      <c r="N36" s="233"/>
      <c r="O36" s="233"/>
      <c r="P36" s="234"/>
      <c r="Q36" s="78"/>
      <c r="R36" s="78"/>
      <c r="S36" s="79"/>
      <c r="T36" s="79"/>
      <c r="U36" s="79"/>
      <c r="V36" s="79"/>
      <c r="W36" s="66"/>
      <c r="X36" s="66"/>
      <c r="Y36" s="66"/>
      <c r="Z36" s="66"/>
      <c r="AA36" s="47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</row>
    <row r="37">
      <c r="B37" s="225"/>
      <c r="C37" s="66"/>
      <c r="D37" s="66"/>
      <c r="E37" s="66"/>
      <c r="F37" s="66"/>
      <c r="G37" s="66"/>
      <c r="H37" s="66"/>
      <c r="I37" s="66"/>
      <c r="J37" s="78"/>
      <c r="K37" s="233"/>
      <c r="L37" s="234"/>
      <c r="M37" s="234"/>
      <c r="N37" s="233"/>
      <c r="O37" s="233"/>
      <c r="P37" s="234"/>
      <c r="Q37" s="78"/>
      <c r="R37" s="78"/>
      <c r="S37" s="79"/>
      <c r="T37" s="79"/>
      <c r="U37" s="79"/>
      <c r="V37" s="79"/>
      <c r="W37" s="66"/>
      <c r="X37" s="66"/>
      <c r="Y37" s="66"/>
      <c r="Z37" s="66"/>
      <c r="AA37" s="47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</row>
    <row r="38">
      <c r="B38" s="225"/>
      <c r="C38" s="66"/>
      <c r="D38" s="66"/>
      <c r="E38" s="66"/>
      <c r="F38" s="66"/>
      <c r="G38" s="66"/>
      <c r="H38" s="66"/>
      <c r="I38" s="66"/>
      <c r="J38" s="78"/>
      <c r="K38" s="233"/>
      <c r="L38" s="234"/>
      <c r="M38" s="234"/>
      <c r="N38" s="233"/>
      <c r="O38" s="233"/>
      <c r="P38" s="234"/>
      <c r="Q38" s="78"/>
      <c r="R38" s="78"/>
      <c r="S38" s="78"/>
      <c r="T38" s="78"/>
      <c r="U38" s="78"/>
      <c r="V38" s="78"/>
      <c r="W38" s="47"/>
      <c r="X38" s="47"/>
      <c r="Y38" s="47"/>
      <c r="Z38" s="47"/>
      <c r="AA38" s="47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</row>
    <row r="39">
      <c r="B39" s="187"/>
      <c r="C39" s="66"/>
      <c r="D39" s="66"/>
      <c r="E39" s="66"/>
      <c r="F39" s="66"/>
      <c r="G39" s="66"/>
      <c r="H39" s="66"/>
      <c r="I39" s="66"/>
      <c r="J39" s="66"/>
      <c r="K39" s="66"/>
      <c r="L39" s="87"/>
      <c r="M39" s="87"/>
      <c r="N39" s="66"/>
      <c r="O39" s="66"/>
      <c r="P39" s="8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</row>
    <row r="40">
      <c r="B40" s="193"/>
      <c r="C40" s="81"/>
      <c r="D40" s="81"/>
      <c r="E40" s="81"/>
      <c r="F40" s="81"/>
      <c r="G40" s="81"/>
      <c r="H40" s="81"/>
      <c r="I40" s="81"/>
      <c r="J40" s="81"/>
      <c r="K40" s="81"/>
      <c r="N40" s="81"/>
      <c r="O40" s="81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</row>
    <row r="41">
      <c r="B41" s="194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</row>
    <row r="42">
      <c r="B42" s="194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>
      <c r="B43" s="194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</row>
    <row r="44">
      <c r="B44" s="194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</row>
    <row r="45">
      <c r="B45" s="194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</row>
    <row r="46">
      <c r="B46" s="194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</row>
    <row r="47">
      <c r="B47" s="194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</row>
    <row r="48">
      <c r="B48" s="194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</row>
    <row r="49">
      <c r="B49" s="194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</row>
    <row r="50">
      <c r="B50" s="194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</row>
    <row r="51">
      <c r="B51" s="194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</row>
    <row r="52">
      <c r="B52" s="194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</row>
    <row r="53">
      <c r="B53" s="194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</row>
    <row r="54">
      <c r="B54" s="194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</row>
    <row r="55">
      <c r="B55" s="194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</row>
    <row r="56">
      <c r="B56" s="194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</row>
    <row r="57">
      <c r="B57" s="194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</row>
    <row r="58">
      <c r="B58" s="194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</row>
    <row r="59">
      <c r="B59" s="194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</row>
    <row r="60">
      <c r="B60" s="194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  <row r="61">
      <c r="B61" s="194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</row>
    <row r="62">
      <c r="B62" s="194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</row>
    <row r="63">
      <c r="B63" s="194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</row>
    <row r="64">
      <c r="B64" s="194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</row>
    <row r="65">
      <c r="B65" s="194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</row>
    <row r="66">
      <c r="B66" s="194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</row>
    <row r="67">
      <c r="B67" s="194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</row>
    <row r="68">
      <c r="B68" s="194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</row>
    <row r="69">
      <c r="B69" s="194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</row>
    <row r="70">
      <c r="B70" s="194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</row>
    <row r="71">
      <c r="B71" s="194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</row>
    <row r="72">
      <c r="B72" s="194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</row>
    <row r="73">
      <c r="B73" s="194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</row>
    <row r="74">
      <c r="B74" s="194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</row>
    <row r="75">
      <c r="B75" s="194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</row>
    <row r="76">
      <c r="B76" s="194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</row>
    <row r="77">
      <c r="B77" s="194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</row>
    <row r="78">
      <c r="B78" s="194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</row>
    <row r="79">
      <c r="B79" s="194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</row>
    <row r="80">
      <c r="B80" s="194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</row>
    <row r="81">
      <c r="B81" s="194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</row>
    <row r="82">
      <c r="B82" s="194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</row>
    <row r="83">
      <c r="B83" s="194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</row>
    <row r="84">
      <c r="B84" s="194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</row>
    <row r="85">
      <c r="B85" s="194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</row>
    <row r="86">
      <c r="B86" s="194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</row>
    <row r="87">
      <c r="B87" s="194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</row>
    <row r="88">
      <c r="B88" s="194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</row>
    <row r="89">
      <c r="B89" s="194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</row>
    <row r="90">
      <c r="B90" s="194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</row>
    <row r="91">
      <c r="B91" s="194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</row>
    <row r="92">
      <c r="B92" s="194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</row>
    <row r="93">
      <c r="B93" s="194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</row>
    <row r="94">
      <c r="B94" s="194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</row>
    <row r="95">
      <c r="B95" s="194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</row>
    <row r="96">
      <c r="B96" s="194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</row>
    <row r="97">
      <c r="B97" s="194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</row>
    <row r="98">
      <c r="B98" s="194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</row>
    <row r="99">
      <c r="B99" s="194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</row>
    <row r="100">
      <c r="B100" s="194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</row>
    <row r="101">
      <c r="B101" s="194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</row>
    <row r="102">
      <c r="B102" s="194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</row>
    <row r="103">
      <c r="B103" s="194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</row>
    <row r="104">
      <c r="B104" s="194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</row>
    <row r="105">
      <c r="B105" s="194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</row>
    <row r="106">
      <c r="B106" s="194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</row>
    <row r="107">
      <c r="B107" s="194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</row>
    <row r="108">
      <c r="B108" s="194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</row>
    <row r="109">
      <c r="B109" s="194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</row>
    <row r="110">
      <c r="B110" s="194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</row>
    <row r="111">
      <c r="B111" s="194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</row>
    <row r="112">
      <c r="B112" s="194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</row>
    <row r="113">
      <c r="B113" s="194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</row>
    <row r="114">
      <c r="B114" s="194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</row>
    <row r="115">
      <c r="B115" s="194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</row>
    <row r="116">
      <c r="B116" s="194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</row>
    <row r="117">
      <c r="B117" s="194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</row>
    <row r="118">
      <c r="B118" s="194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</row>
    <row r="119">
      <c r="B119" s="194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</row>
    <row r="120">
      <c r="B120" s="194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</row>
    <row r="121">
      <c r="B121" s="194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</row>
    <row r="122">
      <c r="B122" s="194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</row>
    <row r="123">
      <c r="B123" s="194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</row>
    <row r="124">
      <c r="B124" s="194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</row>
    <row r="125">
      <c r="B125" s="194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</row>
    <row r="126">
      <c r="B126" s="194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</row>
    <row r="127">
      <c r="B127" s="194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</row>
    <row r="128">
      <c r="B128" s="194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</row>
    <row r="129">
      <c r="B129" s="194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</row>
    <row r="130">
      <c r="B130" s="194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</row>
    <row r="131">
      <c r="B131" s="194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</row>
    <row r="132">
      <c r="B132" s="194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</row>
    <row r="133">
      <c r="B133" s="194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</row>
    <row r="134">
      <c r="B134" s="194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</row>
    <row r="135">
      <c r="B135" s="194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</row>
    <row r="136">
      <c r="B136" s="194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</row>
    <row r="137">
      <c r="B137" s="194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</row>
    <row r="138">
      <c r="B138" s="194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</row>
    <row r="139">
      <c r="B139" s="194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</row>
    <row r="140">
      <c r="B140" s="194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</row>
    <row r="141">
      <c r="B141" s="194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</row>
    <row r="142">
      <c r="B142" s="194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</row>
    <row r="143">
      <c r="B143" s="194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</row>
    <row r="144">
      <c r="B144" s="194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</row>
    <row r="145">
      <c r="B145" s="194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</row>
    <row r="146">
      <c r="B146" s="194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</row>
    <row r="147">
      <c r="B147" s="194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</row>
    <row r="148">
      <c r="B148" s="194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</row>
    <row r="149">
      <c r="B149" s="194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</row>
    <row r="150">
      <c r="B150" s="194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</row>
    <row r="151">
      <c r="B151" s="194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</row>
    <row r="152">
      <c r="B152" s="194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</row>
    <row r="153">
      <c r="B153" s="194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</row>
    <row r="154">
      <c r="B154" s="194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</row>
    <row r="155">
      <c r="B155" s="194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</row>
    <row r="156">
      <c r="B156" s="194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</row>
    <row r="157">
      <c r="B157" s="194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</row>
    <row r="158">
      <c r="B158" s="194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</row>
    <row r="159">
      <c r="B159" s="194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</row>
    <row r="160">
      <c r="B160" s="194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</row>
    <row r="161">
      <c r="B161" s="194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</row>
    <row r="162">
      <c r="B162" s="194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</row>
    <row r="163">
      <c r="B163" s="194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</row>
    <row r="164">
      <c r="B164" s="194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</row>
    <row r="165">
      <c r="B165" s="194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</row>
    <row r="166">
      <c r="B166" s="194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</row>
    <row r="167">
      <c r="B167" s="194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</row>
    <row r="168">
      <c r="B168" s="194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</row>
    <row r="169">
      <c r="B169" s="194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</row>
    <row r="170">
      <c r="B170" s="194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</row>
    <row r="171">
      <c r="B171" s="194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</row>
    <row r="172">
      <c r="B172" s="194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</row>
    <row r="173">
      <c r="B173" s="194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</row>
    <row r="174">
      <c r="B174" s="194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</row>
    <row r="175">
      <c r="B175" s="194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</row>
    <row r="176">
      <c r="B176" s="194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</row>
    <row r="177">
      <c r="B177" s="194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</row>
    <row r="178">
      <c r="B178" s="194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</row>
    <row r="179">
      <c r="B179" s="194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</row>
    <row r="180">
      <c r="B180" s="194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</row>
    <row r="181">
      <c r="B181" s="194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</row>
    <row r="182">
      <c r="B182" s="194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</row>
    <row r="183">
      <c r="B183" s="194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</row>
    <row r="184">
      <c r="B184" s="194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</row>
    <row r="185">
      <c r="B185" s="194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</row>
    <row r="186">
      <c r="B186" s="194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</row>
    <row r="187">
      <c r="B187" s="194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</row>
    <row r="188">
      <c r="B188" s="194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</row>
    <row r="189">
      <c r="B189" s="194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</row>
    <row r="190">
      <c r="B190" s="194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</row>
    <row r="191">
      <c r="B191" s="194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</row>
    <row r="192">
      <c r="B192" s="194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</row>
    <row r="193">
      <c r="B193" s="194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</row>
    <row r="194">
      <c r="B194" s="194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</row>
    <row r="195">
      <c r="B195" s="194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</row>
    <row r="196">
      <c r="B196" s="194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</row>
    <row r="197">
      <c r="B197" s="194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</row>
    <row r="198">
      <c r="B198" s="194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</row>
    <row r="199">
      <c r="B199" s="194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</row>
    <row r="200">
      <c r="B200" s="194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</row>
    <row r="201">
      <c r="B201" s="194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</row>
    <row r="202">
      <c r="B202" s="194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</row>
    <row r="203">
      <c r="B203" s="194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</row>
    <row r="204">
      <c r="B204" s="194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</row>
    <row r="205">
      <c r="B205" s="194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</row>
    <row r="206">
      <c r="B206" s="194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</row>
    <row r="207">
      <c r="B207" s="194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</row>
    <row r="208">
      <c r="B208" s="194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</row>
    <row r="209">
      <c r="B209" s="194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</row>
    <row r="210">
      <c r="B210" s="194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</row>
    <row r="211">
      <c r="B211" s="194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</row>
    <row r="212">
      <c r="B212" s="194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</row>
    <row r="213">
      <c r="B213" s="194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</row>
    <row r="214">
      <c r="B214" s="194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</row>
    <row r="215">
      <c r="B215" s="194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</row>
    <row r="216">
      <c r="B216" s="194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</row>
    <row r="217">
      <c r="B217" s="194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</row>
    <row r="218">
      <c r="B218" s="194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</row>
    <row r="219">
      <c r="B219" s="194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</row>
    <row r="220">
      <c r="B220" s="194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</row>
    <row r="221">
      <c r="B221" s="194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</row>
    <row r="222">
      <c r="B222" s="194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</row>
    <row r="223">
      <c r="B223" s="194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</row>
    <row r="224">
      <c r="B224" s="194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</row>
    <row r="225">
      <c r="B225" s="194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</row>
    <row r="226">
      <c r="B226" s="194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</row>
    <row r="227">
      <c r="B227" s="194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</row>
    <row r="228">
      <c r="B228" s="194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</row>
    <row r="229">
      <c r="B229" s="194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</row>
    <row r="230">
      <c r="B230" s="194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</row>
    <row r="231">
      <c r="B231" s="194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</row>
    <row r="232">
      <c r="B232" s="194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</row>
    <row r="233">
      <c r="B233" s="194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</row>
    <row r="234">
      <c r="B234" s="194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</row>
    <row r="235">
      <c r="B235" s="194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</row>
    <row r="236">
      <c r="B236" s="194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</row>
    <row r="237">
      <c r="B237" s="194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</row>
    <row r="238">
      <c r="B238" s="194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</row>
    <row r="239">
      <c r="B239" s="194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</row>
    <row r="240">
      <c r="B240" s="194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</row>
    <row r="241">
      <c r="B241" s="194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</row>
    <row r="242">
      <c r="B242" s="194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</row>
    <row r="243">
      <c r="B243" s="194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</row>
    <row r="244">
      <c r="B244" s="194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</row>
    <row r="245">
      <c r="B245" s="194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</row>
    <row r="246">
      <c r="B246" s="194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</row>
    <row r="247">
      <c r="B247" s="194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</row>
    <row r="248">
      <c r="B248" s="194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</row>
    <row r="249">
      <c r="B249" s="194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</row>
    <row r="250">
      <c r="B250" s="194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</row>
    <row r="251">
      <c r="B251" s="194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</row>
    <row r="252">
      <c r="B252" s="194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</row>
    <row r="253">
      <c r="B253" s="194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</row>
    <row r="254">
      <c r="B254" s="194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</row>
    <row r="255">
      <c r="B255" s="194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</row>
    <row r="256">
      <c r="B256" s="194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</row>
    <row r="257">
      <c r="B257" s="194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</row>
    <row r="258">
      <c r="B258" s="194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</row>
    <row r="259">
      <c r="B259" s="194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</row>
    <row r="260">
      <c r="B260" s="194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</row>
    <row r="261">
      <c r="B261" s="194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</row>
    <row r="262">
      <c r="B262" s="194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</row>
    <row r="263">
      <c r="B263" s="194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</row>
    <row r="264">
      <c r="B264" s="194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</row>
    <row r="265">
      <c r="B265" s="194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</row>
    <row r="266">
      <c r="B266" s="194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</row>
    <row r="267">
      <c r="B267" s="194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</row>
    <row r="268">
      <c r="B268" s="194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</row>
    <row r="269">
      <c r="B269" s="194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</row>
    <row r="270">
      <c r="B270" s="194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</row>
    <row r="271">
      <c r="B271" s="194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</row>
    <row r="272">
      <c r="B272" s="194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</row>
    <row r="273">
      <c r="B273" s="194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</row>
    <row r="274">
      <c r="B274" s="194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</row>
    <row r="275">
      <c r="B275" s="194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</row>
    <row r="276">
      <c r="B276" s="194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</row>
    <row r="277">
      <c r="B277" s="194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</row>
    <row r="278">
      <c r="B278" s="194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</row>
    <row r="279">
      <c r="B279" s="194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</row>
    <row r="280">
      <c r="B280" s="194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</row>
    <row r="281">
      <c r="B281" s="194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</row>
    <row r="282">
      <c r="B282" s="194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</row>
    <row r="283">
      <c r="B283" s="194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</row>
    <row r="284">
      <c r="B284" s="194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</row>
    <row r="285">
      <c r="B285" s="194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</row>
    <row r="286">
      <c r="B286" s="194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</row>
    <row r="287">
      <c r="B287" s="194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</row>
    <row r="288">
      <c r="B288" s="194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</row>
    <row r="289">
      <c r="B289" s="194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</row>
    <row r="290">
      <c r="B290" s="194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</row>
    <row r="291">
      <c r="B291" s="194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</row>
    <row r="292">
      <c r="B292" s="194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</row>
    <row r="293">
      <c r="B293" s="194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</row>
    <row r="294">
      <c r="B294" s="194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</row>
    <row r="295">
      <c r="B295" s="194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</row>
    <row r="296">
      <c r="B296" s="194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</row>
    <row r="297">
      <c r="B297" s="194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</row>
    <row r="298">
      <c r="B298" s="194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</row>
    <row r="299">
      <c r="B299" s="194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</row>
    <row r="300">
      <c r="B300" s="194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</row>
    <row r="301">
      <c r="B301" s="194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</row>
    <row r="302">
      <c r="B302" s="194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</row>
    <row r="303">
      <c r="B303" s="194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</row>
    <row r="304">
      <c r="B304" s="194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</row>
    <row r="305">
      <c r="B305" s="194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</row>
    <row r="306">
      <c r="B306" s="194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</row>
    <row r="307">
      <c r="B307" s="194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</row>
    <row r="308">
      <c r="B308" s="194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</row>
    <row r="309">
      <c r="B309" s="194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</row>
    <row r="310">
      <c r="B310" s="194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</row>
    <row r="311">
      <c r="B311" s="194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</row>
    <row r="312">
      <c r="B312" s="194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</row>
    <row r="313">
      <c r="B313" s="194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</row>
    <row r="314">
      <c r="B314" s="194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</row>
    <row r="315">
      <c r="B315" s="194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</row>
    <row r="316">
      <c r="B316" s="194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</row>
    <row r="317">
      <c r="B317" s="194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</row>
    <row r="318">
      <c r="B318" s="194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</row>
    <row r="319">
      <c r="B319" s="194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</row>
    <row r="320">
      <c r="B320" s="194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</row>
    <row r="321">
      <c r="B321" s="194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</row>
    <row r="322">
      <c r="B322" s="194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</row>
    <row r="323">
      <c r="B323" s="194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>
      <c r="B324" s="194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>
      <c r="B325" s="194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>
      <c r="B326" s="194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>
      <c r="B327" s="194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>
      <c r="B328" s="194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>
      <c r="B329" s="194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>
      <c r="B330" s="194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>
      <c r="B331" s="194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</row>
    <row r="332">
      <c r="B332" s="194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>
      <c r="B333" s="194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</row>
    <row r="334">
      <c r="B334" s="194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>
      <c r="B335" s="194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</row>
    <row r="336">
      <c r="B336" s="194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>
      <c r="B337" s="194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</row>
    <row r="338">
      <c r="B338" s="194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>
      <c r="B339" s="194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</row>
    <row r="340">
      <c r="B340" s="194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>
      <c r="B341" s="194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</row>
    <row r="342">
      <c r="B342" s="194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>
      <c r="B343" s="194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</row>
    <row r="344">
      <c r="B344" s="194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>
      <c r="B345" s="194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</row>
    <row r="346">
      <c r="B346" s="194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>
      <c r="B347" s="194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</row>
    <row r="348">
      <c r="B348" s="194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>
      <c r="B349" s="194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</row>
    <row r="350">
      <c r="B350" s="194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>
      <c r="B351" s="194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</row>
    <row r="352">
      <c r="B352" s="194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>
      <c r="B353" s="194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</row>
    <row r="354">
      <c r="B354" s="194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>
      <c r="B355" s="194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</row>
    <row r="356">
      <c r="B356" s="194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>
      <c r="B357" s="194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</row>
    <row r="358">
      <c r="B358" s="194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>
      <c r="B359" s="194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</row>
    <row r="360">
      <c r="B360" s="194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>
      <c r="B361" s="194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</row>
    <row r="362">
      <c r="B362" s="194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>
      <c r="B363" s="194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</row>
    <row r="364">
      <c r="B364" s="194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>
      <c r="B365" s="194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</row>
    <row r="366">
      <c r="B366" s="194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>
      <c r="B367" s="194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</row>
    <row r="368">
      <c r="B368" s="194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>
      <c r="B369" s="194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</row>
    <row r="370">
      <c r="B370" s="194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>
      <c r="B371" s="194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</row>
    <row r="372">
      <c r="B372" s="194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>
      <c r="B373" s="194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</row>
    <row r="374">
      <c r="B374" s="194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>
      <c r="B375" s="194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</row>
    <row r="376">
      <c r="B376" s="194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>
      <c r="B377" s="194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</row>
    <row r="378">
      <c r="B378" s="194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>
      <c r="B379" s="194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</row>
    <row r="380">
      <c r="B380" s="194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>
      <c r="B381" s="194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</row>
    <row r="382">
      <c r="B382" s="194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>
      <c r="B383" s="194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</row>
    <row r="384">
      <c r="B384" s="194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>
      <c r="B385" s="194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</row>
    <row r="386">
      <c r="B386" s="194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>
      <c r="B387" s="194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</row>
    <row r="388">
      <c r="B388" s="194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>
      <c r="B389" s="194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</row>
    <row r="390">
      <c r="B390" s="194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>
      <c r="B391" s="194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</row>
    <row r="392">
      <c r="B392" s="194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>
      <c r="B393" s="194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</row>
    <row r="394">
      <c r="B394" s="194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>
      <c r="B395" s="194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</row>
    <row r="396">
      <c r="B396" s="194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>
      <c r="B397" s="194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</row>
    <row r="398">
      <c r="B398" s="194"/>
    </row>
    <row r="399">
      <c r="B399" s="194"/>
    </row>
    <row r="400">
      <c r="B400" s="194"/>
    </row>
    <row r="401">
      <c r="B401" s="194"/>
    </row>
    <row r="402">
      <c r="B402" s="194"/>
    </row>
    <row r="403">
      <c r="B403" s="194"/>
    </row>
    <row r="404">
      <c r="B404" s="194"/>
    </row>
    <row r="405">
      <c r="B405" s="194"/>
    </row>
    <row r="406">
      <c r="B406" s="194"/>
    </row>
    <row r="407">
      <c r="B407" s="194"/>
    </row>
    <row r="408">
      <c r="B408" s="194"/>
    </row>
    <row r="409">
      <c r="B409" s="194"/>
    </row>
    <row r="410">
      <c r="B410" s="194"/>
    </row>
    <row r="411">
      <c r="B411" s="194"/>
    </row>
    <row r="412">
      <c r="B412" s="194"/>
    </row>
    <row r="413">
      <c r="B413" s="194"/>
    </row>
    <row r="414">
      <c r="B414" s="194"/>
    </row>
    <row r="415">
      <c r="B415" s="194"/>
    </row>
    <row r="416">
      <c r="B416" s="194"/>
    </row>
    <row r="417">
      <c r="B417" s="194"/>
    </row>
    <row r="418">
      <c r="B418" s="194"/>
    </row>
    <row r="419">
      <c r="B419" s="194"/>
    </row>
    <row r="420">
      <c r="B420" s="194"/>
    </row>
    <row r="421">
      <c r="B421" s="194"/>
    </row>
    <row r="422">
      <c r="B422" s="194"/>
    </row>
    <row r="423">
      <c r="B423" s="194"/>
    </row>
    <row r="424">
      <c r="B424" s="194"/>
    </row>
    <row r="425">
      <c r="B425" s="194"/>
    </row>
    <row r="426">
      <c r="B426" s="194"/>
    </row>
    <row r="427">
      <c r="B427" s="194"/>
    </row>
    <row r="428">
      <c r="B428" s="194"/>
    </row>
    <row r="429">
      <c r="B429" s="194"/>
    </row>
    <row r="430">
      <c r="B430" s="194"/>
    </row>
    <row r="431">
      <c r="B431" s="194"/>
    </row>
    <row r="432">
      <c r="B432" s="194"/>
    </row>
    <row r="433">
      <c r="B433" s="194"/>
    </row>
    <row r="434">
      <c r="B434" s="194"/>
    </row>
    <row r="435">
      <c r="B435" s="194"/>
    </row>
    <row r="436">
      <c r="B436" s="194"/>
    </row>
    <row r="437">
      <c r="B437" s="194"/>
    </row>
    <row r="438">
      <c r="B438" s="194"/>
    </row>
    <row r="439">
      <c r="B439" s="194"/>
    </row>
    <row r="440">
      <c r="B440" s="194"/>
    </row>
    <row r="441">
      <c r="B441" s="194"/>
    </row>
    <row r="442">
      <c r="B442" s="194"/>
    </row>
    <row r="443">
      <c r="B443" s="194"/>
    </row>
    <row r="444">
      <c r="B444" s="194"/>
    </row>
    <row r="445">
      <c r="B445" s="194"/>
    </row>
    <row r="446">
      <c r="B446" s="194"/>
    </row>
    <row r="447">
      <c r="B447" s="194"/>
    </row>
    <row r="448">
      <c r="B448" s="194"/>
    </row>
    <row r="449">
      <c r="B449" s="194"/>
    </row>
    <row r="450">
      <c r="B450" s="194"/>
    </row>
    <row r="451">
      <c r="B451" s="194"/>
    </row>
    <row r="452">
      <c r="B452" s="194"/>
    </row>
    <row r="453">
      <c r="B453" s="194"/>
    </row>
    <row r="454">
      <c r="B454" s="194"/>
    </row>
    <row r="455">
      <c r="B455" s="194"/>
    </row>
    <row r="456">
      <c r="B456" s="194"/>
    </row>
    <row r="457">
      <c r="B457" s="194"/>
    </row>
    <row r="458">
      <c r="B458" s="194"/>
    </row>
    <row r="459">
      <c r="B459" s="194"/>
    </row>
    <row r="460">
      <c r="B460" s="194"/>
    </row>
    <row r="461">
      <c r="B461" s="194"/>
    </row>
    <row r="462">
      <c r="B462" s="194"/>
    </row>
    <row r="463">
      <c r="B463" s="194"/>
    </row>
    <row r="464">
      <c r="B464" s="194"/>
    </row>
    <row r="465">
      <c r="B465" s="194"/>
    </row>
    <row r="466">
      <c r="B466" s="194"/>
    </row>
    <row r="467">
      <c r="B467" s="194"/>
    </row>
    <row r="468">
      <c r="B468" s="194"/>
    </row>
    <row r="469">
      <c r="B469" s="194"/>
    </row>
    <row r="470">
      <c r="B470" s="194"/>
    </row>
    <row r="471">
      <c r="B471" s="194"/>
    </row>
    <row r="472">
      <c r="B472" s="194"/>
    </row>
    <row r="473">
      <c r="B473" s="194"/>
    </row>
    <row r="474">
      <c r="B474" s="194"/>
    </row>
    <row r="475">
      <c r="B475" s="194"/>
    </row>
    <row r="476">
      <c r="B476" s="194"/>
    </row>
    <row r="477">
      <c r="B477" s="194"/>
    </row>
    <row r="478">
      <c r="B478" s="194"/>
    </row>
    <row r="479">
      <c r="B479" s="194"/>
    </row>
    <row r="480">
      <c r="B480" s="194"/>
    </row>
    <row r="481">
      <c r="B481" s="194"/>
    </row>
    <row r="482">
      <c r="B482" s="194"/>
    </row>
    <row r="483">
      <c r="B483" s="194"/>
    </row>
    <row r="484">
      <c r="B484" s="194"/>
    </row>
    <row r="485">
      <c r="B485" s="194"/>
    </row>
    <row r="486">
      <c r="B486" s="194"/>
    </row>
    <row r="487">
      <c r="B487" s="194"/>
    </row>
    <row r="488">
      <c r="B488" s="194"/>
    </row>
    <row r="489">
      <c r="B489" s="194"/>
    </row>
    <row r="490">
      <c r="B490" s="194"/>
    </row>
    <row r="491">
      <c r="B491" s="194"/>
    </row>
    <row r="492">
      <c r="B492" s="194"/>
    </row>
    <row r="493">
      <c r="B493" s="194"/>
    </row>
    <row r="494">
      <c r="B494" s="194"/>
    </row>
    <row r="495">
      <c r="B495" s="194"/>
    </row>
    <row r="496">
      <c r="B496" s="194"/>
    </row>
    <row r="497">
      <c r="B497" s="194"/>
    </row>
    <row r="498">
      <c r="B498" s="194"/>
    </row>
    <row r="499">
      <c r="B499" s="194"/>
    </row>
    <row r="500">
      <c r="B500" s="194"/>
    </row>
    <row r="501">
      <c r="B501" s="194"/>
    </row>
    <row r="502">
      <c r="B502" s="194"/>
    </row>
    <row r="503">
      <c r="B503" s="194"/>
    </row>
    <row r="504">
      <c r="B504" s="194"/>
    </row>
    <row r="505">
      <c r="B505" s="194"/>
    </row>
    <row r="506">
      <c r="B506" s="194"/>
    </row>
    <row r="507">
      <c r="B507" s="194"/>
    </row>
    <row r="508">
      <c r="B508" s="194"/>
    </row>
    <row r="509">
      <c r="B509" s="194"/>
    </row>
    <row r="510">
      <c r="B510" s="194"/>
    </row>
    <row r="511">
      <c r="B511" s="194"/>
    </row>
    <row r="512">
      <c r="B512" s="194"/>
    </row>
    <row r="513">
      <c r="B513" s="194"/>
    </row>
    <row r="514">
      <c r="B514" s="194"/>
    </row>
    <row r="515">
      <c r="B515" s="194"/>
    </row>
    <row r="516">
      <c r="B516" s="194"/>
    </row>
    <row r="517">
      <c r="B517" s="194"/>
    </row>
    <row r="518">
      <c r="B518" s="194"/>
    </row>
    <row r="519">
      <c r="B519" s="194"/>
    </row>
    <row r="520">
      <c r="B520" s="194"/>
    </row>
    <row r="521">
      <c r="B521" s="194"/>
    </row>
    <row r="522">
      <c r="B522" s="194"/>
    </row>
    <row r="523">
      <c r="B523" s="194"/>
    </row>
    <row r="524">
      <c r="B524" s="194"/>
    </row>
    <row r="525">
      <c r="B525" s="194"/>
    </row>
    <row r="526">
      <c r="B526" s="194"/>
    </row>
    <row r="527">
      <c r="B527" s="194"/>
    </row>
    <row r="528">
      <c r="B528" s="194"/>
    </row>
    <row r="529">
      <c r="B529" s="194"/>
    </row>
    <row r="530">
      <c r="B530" s="194"/>
    </row>
    <row r="531">
      <c r="B531" s="194"/>
    </row>
    <row r="532">
      <c r="B532" s="194"/>
    </row>
    <row r="533">
      <c r="B533" s="194"/>
    </row>
    <row r="534">
      <c r="B534" s="194"/>
    </row>
    <row r="535">
      <c r="B535" s="194"/>
    </row>
    <row r="536">
      <c r="B536" s="194"/>
    </row>
    <row r="537">
      <c r="B537" s="194"/>
    </row>
    <row r="538">
      <c r="B538" s="194"/>
    </row>
    <row r="539">
      <c r="B539" s="194"/>
    </row>
    <row r="540">
      <c r="B540" s="194"/>
    </row>
    <row r="541">
      <c r="B541" s="194"/>
    </row>
    <row r="542">
      <c r="B542" s="194"/>
    </row>
    <row r="543">
      <c r="B543" s="194"/>
    </row>
    <row r="544">
      <c r="B544" s="194"/>
    </row>
    <row r="545">
      <c r="B545" s="194"/>
    </row>
    <row r="546">
      <c r="B546" s="194"/>
    </row>
    <row r="547">
      <c r="B547" s="194"/>
    </row>
    <row r="548">
      <c r="B548" s="194"/>
    </row>
    <row r="549">
      <c r="B549" s="194"/>
    </row>
    <row r="550">
      <c r="B550" s="194"/>
    </row>
    <row r="551">
      <c r="B551" s="194"/>
    </row>
    <row r="552">
      <c r="B552" s="194"/>
    </row>
    <row r="553">
      <c r="B553" s="194"/>
    </row>
    <row r="554">
      <c r="B554" s="194"/>
    </row>
    <row r="555">
      <c r="B555" s="194"/>
    </row>
    <row r="556">
      <c r="B556" s="194"/>
    </row>
    <row r="557">
      <c r="B557" s="194"/>
    </row>
    <row r="558">
      <c r="B558" s="194"/>
    </row>
    <row r="559">
      <c r="B559" s="194"/>
    </row>
    <row r="560">
      <c r="B560" s="194"/>
    </row>
    <row r="561">
      <c r="B561" s="194"/>
    </row>
    <row r="562">
      <c r="B562" s="194"/>
    </row>
    <row r="563">
      <c r="B563" s="194"/>
    </row>
    <row r="564">
      <c r="B564" s="194"/>
    </row>
    <row r="565">
      <c r="B565" s="194"/>
    </row>
    <row r="566">
      <c r="B566" s="194"/>
    </row>
    <row r="567">
      <c r="B567" s="194"/>
    </row>
    <row r="568">
      <c r="B568" s="194"/>
    </row>
    <row r="569">
      <c r="B569" s="194"/>
    </row>
    <row r="570">
      <c r="B570" s="194"/>
    </row>
    <row r="571">
      <c r="B571" s="194"/>
    </row>
    <row r="572">
      <c r="B572" s="194"/>
    </row>
    <row r="573">
      <c r="B573" s="194"/>
    </row>
    <row r="574">
      <c r="B574" s="194"/>
    </row>
    <row r="575">
      <c r="B575" s="194"/>
    </row>
    <row r="576">
      <c r="B576" s="194"/>
    </row>
    <row r="577">
      <c r="B577" s="194"/>
    </row>
    <row r="578">
      <c r="B578" s="194"/>
    </row>
    <row r="579">
      <c r="B579" s="194"/>
    </row>
    <row r="580">
      <c r="B580" s="194"/>
    </row>
    <row r="581">
      <c r="B581" s="194"/>
    </row>
    <row r="582">
      <c r="B582" s="194"/>
    </row>
    <row r="583">
      <c r="B583" s="194"/>
    </row>
    <row r="584">
      <c r="B584" s="194"/>
    </row>
    <row r="585">
      <c r="B585" s="194"/>
    </row>
    <row r="586">
      <c r="B586" s="194"/>
    </row>
    <row r="587">
      <c r="B587" s="194"/>
    </row>
    <row r="588">
      <c r="B588" s="194"/>
    </row>
    <row r="589">
      <c r="B589" s="194"/>
    </row>
    <row r="590">
      <c r="B590" s="194"/>
    </row>
    <row r="591">
      <c r="B591" s="194"/>
    </row>
    <row r="592">
      <c r="B592" s="194"/>
    </row>
    <row r="593">
      <c r="B593" s="194"/>
    </row>
    <row r="594">
      <c r="B594" s="194"/>
    </row>
    <row r="595">
      <c r="B595" s="194"/>
    </row>
    <row r="596">
      <c r="B596" s="194"/>
    </row>
    <row r="597">
      <c r="B597" s="194"/>
    </row>
    <row r="598">
      <c r="B598" s="194"/>
    </row>
    <row r="599">
      <c r="B599" s="194"/>
    </row>
    <row r="600">
      <c r="B600" s="194"/>
    </row>
    <row r="601">
      <c r="B601" s="194"/>
    </row>
    <row r="602">
      <c r="B602" s="194"/>
    </row>
    <row r="603">
      <c r="B603" s="194"/>
    </row>
    <row r="604">
      <c r="B604" s="194"/>
    </row>
    <row r="605">
      <c r="B605" s="194"/>
    </row>
    <row r="606">
      <c r="B606" s="194"/>
    </row>
    <row r="607">
      <c r="B607" s="194"/>
    </row>
    <row r="608">
      <c r="B608" s="194"/>
    </row>
    <row r="609">
      <c r="B609" s="194"/>
    </row>
    <row r="610">
      <c r="B610" s="194"/>
    </row>
    <row r="611">
      <c r="B611" s="194"/>
    </row>
    <row r="612">
      <c r="B612" s="194"/>
    </row>
    <row r="613">
      <c r="B613" s="194"/>
    </row>
    <row r="614">
      <c r="B614" s="194"/>
    </row>
    <row r="615">
      <c r="B615" s="194"/>
    </row>
    <row r="616">
      <c r="B616" s="194"/>
    </row>
    <row r="617">
      <c r="B617" s="194"/>
    </row>
    <row r="618">
      <c r="B618" s="194"/>
    </row>
    <row r="619">
      <c r="B619" s="194"/>
    </row>
    <row r="620">
      <c r="B620" s="194"/>
    </row>
    <row r="621">
      <c r="B621" s="194"/>
    </row>
    <row r="622">
      <c r="B622" s="194"/>
    </row>
    <row r="623">
      <c r="B623" s="194"/>
    </row>
    <row r="624">
      <c r="B624" s="194"/>
    </row>
    <row r="625">
      <c r="B625" s="194"/>
    </row>
    <row r="626">
      <c r="B626" s="194"/>
    </row>
    <row r="627">
      <c r="B627" s="194"/>
    </row>
    <row r="628">
      <c r="B628" s="194"/>
    </row>
    <row r="629">
      <c r="B629" s="194"/>
    </row>
    <row r="630">
      <c r="B630" s="194"/>
    </row>
    <row r="631">
      <c r="B631" s="194"/>
    </row>
    <row r="632">
      <c r="B632" s="194"/>
    </row>
    <row r="633">
      <c r="B633" s="194"/>
    </row>
    <row r="634">
      <c r="B634" s="194"/>
    </row>
    <row r="635">
      <c r="B635" s="194"/>
    </row>
    <row r="636">
      <c r="B636" s="194"/>
    </row>
    <row r="637">
      <c r="B637" s="194"/>
    </row>
    <row r="638">
      <c r="B638" s="194"/>
    </row>
    <row r="639">
      <c r="B639" s="194"/>
    </row>
    <row r="640">
      <c r="B640" s="194"/>
    </row>
    <row r="641">
      <c r="B641" s="194"/>
    </row>
    <row r="642">
      <c r="B642" s="194"/>
    </row>
    <row r="643">
      <c r="B643" s="194"/>
    </row>
    <row r="644">
      <c r="B644" s="194"/>
    </row>
    <row r="645">
      <c r="B645" s="194"/>
    </row>
    <row r="646">
      <c r="B646" s="194"/>
    </row>
    <row r="647">
      <c r="B647" s="194"/>
    </row>
    <row r="648">
      <c r="B648" s="194"/>
    </row>
    <row r="649">
      <c r="B649" s="194"/>
    </row>
    <row r="650">
      <c r="B650" s="194"/>
    </row>
    <row r="651">
      <c r="B651" s="194"/>
    </row>
    <row r="652">
      <c r="B652" s="194"/>
    </row>
    <row r="653">
      <c r="B653" s="194"/>
    </row>
    <row r="654">
      <c r="B654" s="194"/>
    </row>
    <row r="655">
      <c r="B655" s="194"/>
    </row>
    <row r="656">
      <c r="B656" s="194"/>
    </row>
    <row r="657">
      <c r="B657" s="194"/>
    </row>
    <row r="658">
      <c r="B658" s="194"/>
    </row>
    <row r="659">
      <c r="B659" s="194"/>
    </row>
    <row r="660">
      <c r="B660" s="194"/>
    </row>
    <row r="661">
      <c r="B661" s="194"/>
    </row>
    <row r="662">
      <c r="B662" s="194"/>
    </row>
    <row r="663">
      <c r="B663" s="194"/>
    </row>
    <row r="664">
      <c r="B664" s="194"/>
    </row>
    <row r="665">
      <c r="B665" s="194"/>
    </row>
    <row r="666">
      <c r="B666" s="194"/>
    </row>
    <row r="667">
      <c r="B667" s="194"/>
    </row>
    <row r="668">
      <c r="B668" s="194"/>
    </row>
    <row r="669">
      <c r="B669" s="194"/>
    </row>
    <row r="670">
      <c r="B670" s="194"/>
    </row>
    <row r="671">
      <c r="B671" s="194"/>
    </row>
    <row r="672">
      <c r="B672" s="194"/>
    </row>
    <row r="673">
      <c r="B673" s="194"/>
    </row>
    <row r="674">
      <c r="B674" s="194"/>
    </row>
    <row r="675">
      <c r="B675" s="194"/>
    </row>
    <row r="676">
      <c r="B676" s="194"/>
    </row>
    <row r="677">
      <c r="B677" s="194"/>
    </row>
    <row r="678">
      <c r="B678" s="194"/>
    </row>
    <row r="679">
      <c r="B679" s="194"/>
    </row>
    <row r="680">
      <c r="B680" s="194"/>
    </row>
    <row r="681">
      <c r="B681" s="194"/>
    </row>
    <row r="682">
      <c r="B682" s="194"/>
    </row>
    <row r="683">
      <c r="B683" s="194"/>
    </row>
    <row r="684">
      <c r="B684" s="194"/>
    </row>
    <row r="685">
      <c r="B685" s="194"/>
    </row>
    <row r="686">
      <c r="B686" s="194"/>
    </row>
    <row r="687">
      <c r="B687" s="194"/>
    </row>
    <row r="688">
      <c r="B688" s="194"/>
    </row>
    <row r="689">
      <c r="B689" s="194"/>
    </row>
    <row r="690">
      <c r="B690" s="194"/>
    </row>
    <row r="691">
      <c r="B691" s="194"/>
    </row>
    <row r="692">
      <c r="B692" s="194"/>
    </row>
    <row r="693">
      <c r="B693" s="194"/>
    </row>
    <row r="694">
      <c r="B694" s="194"/>
    </row>
    <row r="695">
      <c r="B695" s="194"/>
    </row>
    <row r="696">
      <c r="B696" s="194"/>
    </row>
    <row r="697">
      <c r="B697" s="194"/>
    </row>
    <row r="698">
      <c r="B698" s="194"/>
    </row>
    <row r="699">
      <c r="B699" s="194"/>
    </row>
    <row r="700">
      <c r="B700" s="194"/>
    </row>
    <row r="701">
      <c r="B701" s="194"/>
    </row>
    <row r="702">
      <c r="B702" s="194"/>
    </row>
    <row r="703">
      <c r="B703" s="194"/>
    </row>
    <row r="704">
      <c r="B704" s="194"/>
    </row>
    <row r="705">
      <c r="B705" s="194"/>
    </row>
    <row r="706">
      <c r="B706" s="194"/>
    </row>
    <row r="707">
      <c r="B707" s="194"/>
    </row>
    <row r="708">
      <c r="B708" s="194"/>
    </row>
    <row r="709">
      <c r="B709" s="194"/>
    </row>
    <row r="710">
      <c r="B710" s="194"/>
    </row>
    <row r="711">
      <c r="B711" s="194"/>
    </row>
    <row r="712">
      <c r="B712" s="194"/>
    </row>
    <row r="713">
      <c r="B713" s="194"/>
    </row>
    <row r="714">
      <c r="B714" s="194"/>
    </row>
    <row r="715">
      <c r="B715" s="194"/>
    </row>
    <row r="716">
      <c r="B716" s="194"/>
    </row>
    <row r="717">
      <c r="B717" s="194"/>
    </row>
    <row r="718">
      <c r="B718" s="194"/>
    </row>
    <row r="719">
      <c r="B719" s="194"/>
    </row>
    <row r="720">
      <c r="B720" s="194"/>
    </row>
    <row r="721">
      <c r="B721" s="194"/>
    </row>
    <row r="722">
      <c r="B722" s="194"/>
    </row>
    <row r="723">
      <c r="B723" s="194"/>
    </row>
    <row r="724">
      <c r="B724" s="194"/>
    </row>
    <row r="725">
      <c r="B725" s="194"/>
    </row>
    <row r="726">
      <c r="B726" s="194"/>
    </row>
    <row r="727">
      <c r="B727" s="194"/>
    </row>
    <row r="728">
      <c r="B728" s="194"/>
    </row>
    <row r="729">
      <c r="B729" s="194"/>
    </row>
    <row r="730">
      <c r="B730" s="194"/>
    </row>
    <row r="731">
      <c r="B731" s="194"/>
    </row>
    <row r="732">
      <c r="B732" s="194"/>
    </row>
    <row r="733">
      <c r="B733" s="194"/>
    </row>
    <row r="734">
      <c r="B734" s="194"/>
    </row>
    <row r="735">
      <c r="B735" s="194"/>
    </row>
    <row r="736">
      <c r="B736" s="194"/>
    </row>
    <row r="737">
      <c r="B737" s="194"/>
    </row>
    <row r="738">
      <c r="B738" s="194"/>
    </row>
    <row r="739">
      <c r="B739" s="194"/>
    </row>
    <row r="740">
      <c r="B740" s="194"/>
    </row>
    <row r="741">
      <c r="B741" s="194"/>
    </row>
    <row r="742">
      <c r="B742" s="194"/>
    </row>
    <row r="743">
      <c r="B743" s="194"/>
    </row>
    <row r="744">
      <c r="B744" s="194"/>
    </row>
    <row r="745">
      <c r="B745" s="194"/>
    </row>
    <row r="746">
      <c r="B746" s="194"/>
    </row>
    <row r="747">
      <c r="B747" s="194"/>
    </row>
    <row r="748">
      <c r="B748" s="194"/>
    </row>
    <row r="749">
      <c r="B749" s="194"/>
    </row>
    <row r="750">
      <c r="B750" s="194"/>
    </row>
    <row r="751">
      <c r="B751" s="194"/>
    </row>
    <row r="752">
      <c r="B752" s="194"/>
    </row>
    <row r="753">
      <c r="B753" s="194"/>
    </row>
    <row r="754">
      <c r="B754" s="194"/>
    </row>
    <row r="755">
      <c r="B755" s="194"/>
    </row>
    <row r="756">
      <c r="B756" s="194"/>
    </row>
    <row r="757">
      <c r="B757" s="194"/>
    </row>
    <row r="758">
      <c r="B758" s="194"/>
    </row>
    <row r="759">
      <c r="B759" s="194"/>
    </row>
    <row r="760">
      <c r="B760" s="194"/>
    </row>
    <row r="761">
      <c r="B761" s="194"/>
    </row>
    <row r="762">
      <c r="B762" s="194"/>
    </row>
    <row r="763">
      <c r="B763" s="194"/>
    </row>
    <row r="764">
      <c r="B764" s="194"/>
    </row>
    <row r="765">
      <c r="B765" s="194"/>
    </row>
    <row r="766">
      <c r="B766" s="194"/>
    </row>
    <row r="767">
      <c r="B767" s="194"/>
    </row>
    <row r="768">
      <c r="B768" s="194"/>
    </row>
    <row r="769">
      <c r="B769" s="194"/>
    </row>
    <row r="770">
      <c r="B770" s="194"/>
    </row>
    <row r="771">
      <c r="B771" s="194"/>
    </row>
    <row r="772">
      <c r="B772" s="194"/>
    </row>
    <row r="773">
      <c r="B773" s="194"/>
    </row>
    <row r="774">
      <c r="B774" s="194"/>
    </row>
    <row r="775">
      <c r="B775" s="194"/>
    </row>
    <row r="776">
      <c r="B776" s="194"/>
    </row>
    <row r="777">
      <c r="B777" s="194"/>
    </row>
    <row r="778">
      <c r="B778" s="194"/>
    </row>
    <row r="779">
      <c r="B779" s="194"/>
    </row>
    <row r="780">
      <c r="B780" s="194"/>
    </row>
    <row r="781">
      <c r="B781" s="194"/>
    </row>
    <row r="782">
      <c r="B782" s="194"/>
    </row>
    <row r="783">
      <c r="B783" s="194"/>
    </row>
    <row r="784">
      <c r="B784" s="194"/>
    </row>
    <row r="785">
      <c r="B785" s="194"/>
    </row>
    <row r="786">
      <c r="B786" s="194"/>
    </row>
    <row r="787">
      <c r="B787" s="194"/>
    </row>
    <row r="788">
      <c r="B788" s="194"/>
    </row>
    <row r="789">
      <c r="B789" s="194"/>
    </row>
    <row r="790">
      <c r="B790" s="194"/>
    </row>
    <row r="791">
      <c r="B791" s="194"/>
    </row>
    <row r="792">
      <c r="B792" s="194"/>
    </row>
    <row r="793">
      <c r="B793" s="194"/>
    </row>
    <row r="794">
      <c r="B794" s="194"/>
    </row>
    <row r="795">
      <c r="B795" s="194"/>
    </row>
    <row r="796">
      <c r="B796" s="194"/>
    </row>
    <row r="797">
      <c r="B797" s="194"/>
    </row>
    <row r="798">
      <c r="B798" s="194"/>
    </row>
    <row r="799">
      <c r="B799" s="194"/>
    </row>
    <row r="800">
      <c r="B800" s="194"/>
    </row>
    <row r="801">
      <c r="B801" s="194"/>
    </row>
    <row r="802">
      <c r="B802" s="194"/>
    </row>
    <row r="803">
      <c r="B803" s="194"/>
    </row>
    <row r="804">
      <c r="B804" s="194"/>
    </row>
    <row r="805">
      <c r="B805" s="194"/>
    </row>
    <row r="806">
      <c r="B806" s="194"/>
    </row>
    <row r="807">
      <c r="B807" s="194"/>
    </row>
    <row r="808">
      <c r="B808" s="194"/>
    </row>
    <row r="809">
      <c r="B809" s="194"/>
    </row>
    <row r="810">
      <c r="B810" s="194"/>
    </row>
    <row r="811">
      <c r="B811" s="194"/>
    </row>
    <row r="812">
      <c r="B812" s="194"/>
    </row>
    <row r="813">
      <c r="B813" s="194"/>
    </row>
    <row r="814">
      <c r="B814" s="194"/>
    </row>
    <row r="815">
      <c r="B815" s="194"/>
    </row>
    <row r="816">
      <c r="B816" s="194"/>
    </row>
    <row r="817">
      <c r="B817" s="194"/>
    </row>
    <row r="818">
      <c r="B818" s="194"/>
    </row>
    <row r="819">
      <c r="B819" s="194"/>
    </row>
    <row r="820">
      <c r="B820" s="194"/>
    </row>
    <row r="821">
      <c r="B821" s="194"/>
    </row>
    <row r="822">
      <c r="B822" s="194"/>
    </row>
    <row r="823">
      <c r="B823" s="194"/>
    </row>
    <row r="824">
      <c r="B824" s="194"/>
    </row>
    <row r="825">
      <c r="B825" s="194"/>
    </row>
    <row r="826">
      <c r="B826" s="194"/>
    </row>
    <row r="827">
      <c r="B827" s="194"/>
    </row>
    <row r="828">
      <c r="B828" s="194"/>
    </row>
    <row r="829">
      <c r="B829" s="194"/>
    </row>
    <row r="830">
      <c r="B830" s="194"/>
    </row>
    <row r="831">
      <c r="B831" s="194"/>
    </row>
    <row r="832">
      <c r="B832" s="194"/>
    </row>
    <row r="833">
      <c r="B833" s="194"/>
    </row>
    <row r="834">
      <c r="B834" s="194"/>
    </row>
    <row r="835">
      <c r="B835" s="194"/>
    </row>
    <row r="836">
      <c r="B836" s="194"/>
    </row>
    <row r="837">
      <c r="B837" s="194"/>
    </row>
    <row r="838">
      <c r="B838" s="194"/>
    </row>
    <row r="839">
      <c r="B839" s="194"/>
    </row>
    <row r="840">
      <c r="B840" s="194"/>
    </row>
    <row r="841">
      <c r="B841" s="194"/>
    </row>
    <row r="842">
      <c r="B842" s="194"/>
    </row>
    <row r="843">
      <c r="B843" s="194"/>
    </row>
    <row r="844">
      <c r="B844" s="194"/>
    </row>
    <row r="845">
      <c r="B845" s="194"/>
    </row>
    <row r="846">
      <c r="B846" s="194"/>
    </row>
    <row r="847">
      <c r="B847" s="194"/>
    </row>
    <row r="848">
      <c r="B848" s="194"/>
    </row>
    <row r="849">
      <c r="B849" s="194"/>
    </row>
    <row r="850">
      <c r="B850" s="194"/>
    </row>
    <row r="851">
      <c r="B851" s="194"/>
    </row>
    <row r="852">
      <c r="B852" s="194"/>
    </row>
    <row r="853">
      <c r="B853" s="194"/>
    </row>
    <row r="854">
      <c r="B854" s="194"/>
    </row>
    <row r="855">
      <c r="B855" s="194"/>
    </row>
    <row r="856">
      <c r="B856" s="194"/>
    </row>
    <row r="857">
      <c r="B857" s="194"/>
    </row>
    <row r="858">
      <c r="B858" s="194"/>
    </row>
    <row r="859">
      <c r="B859" s="194"/>
    </row>
    <row r="860">
      <c r="B860" s="194"/>
    </row>
    <row r="861">
      <c r="B861" s="194"/>
    </row>
    <row r="862">
      <c r="B862" s="194"/>
    </row>
    <row r="863">
      <c r="B863" s="194"/>
    </row>
    <row r="864">
      <c r="B864" s="194"/>
    </row>
    <row r="865">
      <c r="B865" s="194"/>
    </row>
    <row r="866">
      <c r="B866" s="194"/>
    </row>
    <row r="867">
      <c r="B867" s="194"/>
    </row>
    <row r="868">
      <c r="B868" s="194"/>
    </row>
    <row r="869">
      <c r="B869" s="194"/>
    </row>
    <row r="870">
      <c r="B870" s="194"/>
    </row>
    <row r="871">
      <c r="B871" s="194"/>
    </row>
    <row r="872">
      <c r="B872" s="194"/>
    </row>
    <row r="873">
      <c r="B873" s="194"/>
    </row>
    <row r="874">
      <c r="B874" s="194"/>
    </row>
    <row r="875">
      <c r="B875" s="194"/>
    </row>
    <row r="876">
      <c r="B876" s="194"/>
    </row>
    <row r="877">
      <c r="B877" s="194"/>
    </row>
    <row r="878">
      <c r="B878" s="194"/>
    </row>
    <row r="879">
      <c r="B879" s="194"/>
    </row>
    <row r="880">
      <c r="B880" s="194"/>
    </row>
    <row r="881">
      <c r="B881" s="194"/>
    </row>
    <row r="882">
      <c r="B882" s="194"/>
    </row>
    <row r="883">
      <c r="B883" s="194"/>
    </row>
    <row r="884">
      <c r="B884" s="194"/>
    </row>
    <row r="885">
      <c r="B885" s="194"/>
    </row>
    <row r="886">
      <c r="B886" s="194"/>
    </row>
    <row r="887">
      <c r="B887" s="194"/>
    </row>
    <row r="888">
      <c r="B888" s="194"/>
    </row>
    <row r="889">
      <c r="B889" s="194"/>
    </row>
    <row r="890">
      <c r="B890" s="194"/>
    </row>
    <row r="891">
      <c r="B891" s="194"/>
    </row>
    <row r="892">
      <c r="B892" s="194"/>
    </row>
    <row r="893">
      <c r="B893" s="194"/>
    </row>
    <row r="894">
      <c r="B894" s="194"/>
    </row>
    <row r="895">
      <c r="B895" s="194"/>
    </row>
    <row r="896">
      <c r="B896" s="194"/>
    </row>
    <row r="897">
      <c r="B897" s="194"/>
    </row>
    <row r="898">
      <c r="B898" s="194"/>
    </row>
    <row r="899">
      <c r="B899" s="194"/>
    </row>
    <row r="900">
      <c r="B900" s="194"/>
    </row>
    <row r="901">
      <c r="B901" s="194"/>
    </row>
    <row r="902">
      <c r="B902" s="194"/>
    </row>
    <row r="903">
      <c r="B903" s="194"/>
    </row>
    <row r="904">
      <c r="B904" s="194"/>
    </row>
    <row r="905">
      <c r="B905" s="194"/>
    </row>
    <row r="906">
      <c r="B906" s="194"/>
    </row>
    <row r="907">
      <c r="B907" s="194"/>
    </row>
    <row r="908">
      <c r="B908" s="194"/>
    </row>
    <row r="909">
      <c r="B909" s="194"/>
    </row>
    <row r="910">
      <c r="B910" s="194"/>
    </row>
    <row r="911">
      <c r="B911" s="194"/>
    </row>
    <row r="912">
      <c r="B912" s="194"/>
    </row>
    <row r="913">
      <c r="B913" s="194"/>
    </row>
    <row r="914">
      <c r="B914" s="194"/>
    </row>
    <row r="915">
      <c r="B915" s="194"/>
    </row>
    <row r="916">
      <c r="B916" s="194"/>
    </row>
    <row r="917">
      <c r="B917" s="194"/>
    </row>
    <row r="918">
      <c r="B918" s="194"/>
    </row>
    <row r="919">
      <c r="B919" s="194"/>
    </row>
    <row r="920">
      <c r="B920" s="194"/>
    </row>
    <row r="921">
      <c r="B921" s="194"/>
    </row>
    <row r="922">
      <c r="B922" s="194"/>
    </row>
    <row r="923">
      <c r="B923" s="194"/>
    </row>
    <row r="924">
      <c r="B924" s="194"/>
    </row>
    <row r="925">
      <c r="B925" s="194"/>
    </row>
    <row r="926">
      <c r="B926" s="194"/>
    </row>
    <row r="927">
      <c r="B927" s="194"/>
    </row>
    <row r="928">
      <c r="B928" s="194"/>
    </row>
    <row r="929">
      <c r="B929" s="194"/>
    </row>
    <row r="930">
      <c r="B930" s="194"/>
    </row>
    <row r="931">
      <c r="B931" s="194"/>
    </row>
    <row r="932">
      <c r="B932" s="194"/>
    </row>
    <row r="933">
      <c r="B933" s="194"/>
    </row>
    <row r="934">
      <c r="B934" s="194"/>
    </row>
    <row r="935">
      <c r="B935" s="194"/>
    </row>
    <row r="936">
      <c r="B936" s="194"/>
    </row>
    <row r="937">
      <c r="B937" s="194"/>
    </row>
    <row r="938">
      <c r="B938" s="194"/>
    </row>
    <row r="939">
      <c r="B939" s="194"/>
    </row>
    <row r="940">
      <c r="B940" s="194"/>
    </row>
    <row r="941">
      <c r="B941" s="194"/>
    </row>
    <row r="942">
      <c r="B942" s="194"/>
    </row>
    <row r="943">
      <c r="B943" s="194"/>
    </row>
    <row r="944">
      <c r="B944" s="194"/>
    </row>
    <row r="945">
      <c r="B945" s="194"/>
    </row>
    <row r="946">
      <c r="B946" s="194"/>
    </row>
    <row r="947">
      <c r="B947" s="194"/>
    </row>
    <row r="948">
      <c r="B948" s="194"/>
    </row>
    <row r="949">
      <c r="B949" s="194"/>
    </row>
    <row r="950">
      <c r="B950" s="194"/>
    </row>
    <row r="951">
      <c r="B951" s="194"/>
    </row>
    <row r="952">
      <c r="B952" s="194"/>
    </row>
    <row r="953">
      <c r="B953" s="194"/>
    </row>
    <row r="954">
      <c r="B954" s="194"/>
    </row>
    <row r="955">
      <c r="B955" s="194"/>
    </row>
    <row r="956">
      <c r="B956" s="194"/>
    </row>
    <row r="957">
      <c r="B957" s="194"/>
    </row>
    <row r="958">
      <c r="B958" s="194"/>
    </row>
    <row r="959">
      <c r="B959" s="194"/>
    </row>
    <row r="960">
      <c r="B960" s="194"/>
    </row>
    <row r="961">
      <c r="B961" s="194"/>
    </row>
    <row r="962">
      <c r="B962" s="194"/>
    </row>
    <row r="963">
      <c r="B963" s="194"/>
    </row>
    <row r="964">
      <c r="B964" s="194"/>
    </row>
    <row r="965">
      <c r="B965" s="194"/>
    </row>
    <row r="966">
      <c r="B966" s="194"/>
    </row>
    <row r="967">
      <c r="B967" s="194"/>
    </row>
    <row r="968">
      <c r="B968" s="194"/>
    </row>
    <row r="969">
      <c r="B969" s="194"/>
    </row>
    <row r="970">
      <c r="B970" s="194"/>
    </row>
    <row r="971">
      <c r="B971" s="194"/>
    </row>
    <row r="972">
      <c r="B972" s="194"/>
    </row>
    <row r="973">
      <c r="B973" s="194"/>
    </row>
    <row r="974">
      <c r="B974" s="194"/>
    </row>
    <row r="975">
      <c r="B975" s="194"/>
    </row>
    <row r="976">
      <c r="B976" s="194"/>
    </row>
    <row r="977">
      <c r="B977" s="194"/>
    </row>
    <row r="978">
      <c r="B978" s="194"/>
    </row>
    <row r="979">
      <c r="B979" s="194"/>
    </row>
    <row r="980">
      <c r="B980" s="194"/>
    </row>
    <row r="981">
      <c r="B981" s="194"/>
    </row>
    <row r="982">
      <c r="B982" s="194"/>
    </row>
    <row r="983">
      <c r="B983" s="194"/>
    </row>
    <row r="984">
      <c r="B984" s="194"/>
    </row>
    <row r="985">
      <c r="B985" s="194"/>
    </row>
    <row r="986">
      <c r="B986" s="194"/>
    </row>
    <row r="987">
      <c r="B987" s="194"/>
    </row>
    <row r="988">
      <c r="B988" s="194"/>
    </row>
    <row r="989">
      <c r="B989" s="194"/>
    </row>
    <row r="990">
      <c r="B990" s="194"/>
    </row>
    <row r="991">
      <c r="B991" s="194"/>
    </row>
    <row r="992">
      <c r="B992" s="194"/>
    </row>
    <row r="993">
      <c r="B993" s="194"/>
    </row>
    <row r="994">
      <c r="B994" s="194"/>
    </row>
    <row r="995">
      <c r="B995" s="194"/>
    </row>
    <row r="996">
      <c r="B996" s="194"/>
    </row>
    <row r="997">
      <c r="B997" s="194"/>
    </row>
    <row r="998">
      <c r="B998" s="194"/>
    </row>
  </sheetData>
  <mergeCells count="13">
    <mergeCell ref="E2:J2"/>
    <mergeCell ref="K2:P2"/>
    <mergeCell ref="Q2:V2"/>
    <mergeCell ref="W2:AB2"/>
    <mergeCell ref="AC2:AH2"/>
    <mergeCell ref="AI2:AN2"/>
    <mergeCell ref="A1:B2"/>
    <mergeCell ref="E1:J1"/>
    <mergeCell ref="K1:P1"/>
    <mergeCell ref="Q1:V1"/>
    <mergeCell ref="W1:AB1"/>
    <mergeCell ref="AC1:AH1"/>
    <mergeCell ref="AI1:AN1"/>
  </mergeCells>
  <hyperlinks>
    <hyperlink r:id="rId1" ref="A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25"/>
    <col customWidth="1" min="2" max="2" width="20.5"/>
    <col customWidth="1" min="3" max="3" width="13.75"/>
    <col customWidth="1" min="4" max="4" width="18.75"/>
    <col customWidth="1" min="16" max="16" width="11.88"/>
    <col customWidth="1" min="17" max="17" width="11.13"/>
  </cols>
  <sheetData>
    <row r="1">
      <c r="A1" s="1" t="s">
        <v>91</v>
      </c>
      <c r="B1" s="82"/>
      <c r="C1" s="2"/>
      <c r="D1" s="3"/>
      <c r="E1" s="235" t="s">
        <v>398</v>
      </c>
      <c r="F1" s="235" t="s">
        <v>399</v>
      </c>
      <c r="G1" s="236">
        <v>900626.0</v>
      </c>
      <c r="H1" s="4"/>
      <c r="I1" s="4"/>
      <c r="J1" s="195"/>
      <c r="K1" s="195"/>
      <c r="L1" s="4">
        <v>45870.0</v>
      </c>
      <c r="M1" s="5"/>
      <c r="N1" s="5"/>
      <c r="O1" s="5"/>
      <c r="P1" s="5"/>
      <c r="Q1" s="6"/>
      <c r="R1" s="7">
        <v>45992.0</v>
      </c>
      <c r="S1" s="8"/>
      <c r="T1" s="8"/>
      <c r="U1" s="8"/>
      <c r="V1" s="8"/>
      <c r="W1" s="9"/>
      <c r="X1" s="10">
        <v>46023.0</v>
      </c>
      <c r="Y1" s="11"/>
      <c r="Z1" s="11"/>
      <c r="AA1" s="11"/>
      <c r="AB1" s="11"/>
      <c r="AC1" s="12"/>
      <c r="AD1" s="10"/>
      <c r="AE1" s="11"/>
      <c r="AF1" s="11"/>
      <c r="AG1" s="11"/>
      <c r="AH1" s="11"/>
      <c r="AI1" s="12"/>
    </row>
    <row r="2">
      <c r="A2" s="84"/>
      <c r="B2" s="17"/>
      <c r="C2" s="14"/>
      <c r="D2" s="15"/>
      <c r="E2" s="16" t="s">
        <v>1</v>
      </c>
      <c r="F2" s="17"/>
      <c r="G2" s="17"/>
      <c r="H2" s="17"/>
      <c r="I2" s="17"/>
      <c r="J2" s="18"/>
      <c r="K2" s="24"/>
      <c r="L2" s="16" t="s">
        <v>1</v>
      </c>
      <c r="M2" s="17"/>
      <c r="N2" s="17"/>
      <c r="O2" s="17"/>
      <c r="P2" s="17"/>
      <c r="Q2" s="18"/>
      <c r="R2" s="16" t="s">
        <v>1</v>
      </c>
      <c r="S2" s="17"/>
      <c r="T2" s="17"/>
      <c r="U2" s="17"/>
      <c r="V2" s="17"/>
      <c r="W2" s="19"/>
      <c r="X2" s="20" t="s">
        <v>1</v>
      </c>
      <c r="Y2" s="21"/>
      <c r="Z2" s="21"/>
      <c r="AA2" s="21"/>
      <c r="AB2" s="21"/>
      <c r="AC2" s="22"/>
      <c r="AD2" s="20" t="s">
        <v>1</v>
      </c>
      <c r="AE2" s="21"/>
      <c r="AF2" s="21"/>
      <c r="AG2" s="21"/>
      <c r="AH2" s="21"/>
      <c r="AI2" s="22"/>
    </row>
    <row r="3">
      <c r="A3" s="23" t="s">
        <v>2</v>
      </c>
      <c r="B3" s="173" t="s">
        <v>3</v>
      </c>
      <c r="C3" s="24" t="s">
        <v>4</v>
      </c>
      <c r="D3" s="24" t="s">
        <v>5</v>
      </c>
      <c r="E3" s="25" t="s">
        <v>6</v>
      </c>
      <c r="F3" s="25" t="s">
        <v>7</v>
      </c>
      <c r="G3" s="25" t="s">
        <v>585</v>
      </c>
      <c r="H3" s="25" t="s">
        <v>586</v>
      </c>
      <c r="I3" s="25" t="s">
        <v>587</v>
      </c>
      <c r="J3" s="25" t="s">
        <v>588</v>
      </c>
      <c r="K3" s="25"/>
      <c r="L3" s="25" t="s">
        <v>93</v>
      </c>
      <c r="M3" s="25" t="s">
        <v>94</v>
      </c>
      <c r="N3" s="25" t="s">
        <v>495</v>
      </c>
      <c r="O3" s="25" t="s">
        <v>589</v>
      </c>
      <c r="P3" s="216" t="s">
        <v>590</v>
      </c>
      <c r="Q3" s="227" t="s">
        <v>484</v>
      </c>
      <c r="R3" s="25" t="s">
        <v>591</v>
      </c>
      <c r="S3" s="25" t="s">
        <v>592</v>
      </c>
      <c r="T3" s="25" t="s">
        <v>593</v>
      </c>
      <c r="U3" s="25" t="s">
        <v>594</v>
      </c>
      <c r="V3" s="216" t="s">
        <v>595</v>
      </c>
      <c r="W3" s="217" t="s">
        <v>596</v>
      </c>
      <c r="X3" s="146" t="s">
        <v>597</v>
      </c>
      <c r="Y3" s="146" t="s">
        <v>598</v>
      </c>
      <c r="Z3" s="146" t="s">
        <v>599</v>
      </c>
      <c r="AA3" s="146" t="s">
        <v>600</v>
      </c>
      <c r="AB3" s="237" t="s">
        <v>601</v>
      </c>
      <c r="AC3" s="147" t="s">
        <v>602</v>
      </c>
      <c r="AD3" s="27"/>
      <c r="AE3" s="27"/>
      <c r="AF3" s="27"/>
      <c r="AG3" s="27"/>
      <c r="AH3" s="28"/>
      <c r="AI3" s="28"/>
    </row>
    <row r="4">
      <c r="A4" s="29"/>
      <c r="B4" s="174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P4" s="30"/>
      <c r="Q4" s="30"/>
      <c r="R4" s="30"/>
      <c r="S4" s="30"/>
      <c r="T4" s="30"/>
      <c r="U4" s="30"/>
      <c r="V4" s="30"/>
      <c r="W4" s="30"/>
      <c r="X4" s="31"/>
      <c r="Y4" s="31"/>
      <c r="Z4" s="31"/>
      <c r="AA4" s="238"/>
      <c r="AB4" s="239"/>
      <c r="AC4" s="33"/>
      <c r="AD4" s="30"/>
      <c r="AE4" s="30"/>
      <c r="AF4" s="30"/>
      <c r="AG4" s="32"/>
      <c r="AH4" s="33"/>
      <c r="AI4" s="33"/>
    </row>
    <row r="5">
      <c r="A5" s="39">
        <v>1.0</v>
      </c>
      <c r="B5" s="178" t="s">
        <v>603</v>
      </c>
      <c r="C5" s="48"/>
      <c r="D5" s="48"/>
      <c r="E5" s="39">
        <v>18.0</v>
      </c>
      <c r="F5" s="39">
        <v>17.0</v>
      </c>
      <c r="G5" s="39">
        <v>17.0</v>
      </c>
      <c r="H5" s="39">
        <v>19.0</v>
      </c>
      <c r="I5" s="39">
        <v>17.0</v>
      </c>
      <c r="J5" s="39">
        <v>16.0</v>
      </c>
      <c r="K5" s="39"/>
      <c r="L5" s="39">
        <v>21.0</v>
      </c>
      <c r="M5" s="39">
        <v>22.0</v>
      </c>
      <c r="N5" s="39">
        <v>18.0</v>
      </c>
      <c r="O5" s="39"/>
      <c r="P5" s="42"/>
      <c r="Q5" s="42"/>
      <c r="R5" s="41" t="s">
        <v>32</v>
      </c>
      <c r="S5" s="41" t="s">
        <v>32</v>
      </c>
      <c r="T5" s="40">
        <v>23.0</v>
      </c>
      <c r="U5" s="40">
        <v>26.0</v>
      </c>
      <c r="V5" s="41" t="s">
        <v>32</v>
      </c>
      <c r="W5" s="41" t="s">
        <v>32</v>
      </c>
      <c r="X5" s="39">
        <v>64.0</v>
      </c>
      <c r="Y5" s="39">
        <v>69.0</v>
      </c>
      <c r="Z5" s="39">
        <v>73.0</v>
      </c>
      <c r="AA5" s="39">
        <v>63.0</v>
      </c>
      <c r="AB5" s="39">
        <v>60.0</v>
      </c>
      <c r="AC5" s="39">
        <v>64.0</v>
      </c>
      <c r="AD5" s="42"/>
      <c r="AE5" s="42"/>
      <c r="AF5" s="42"/>
      <c r="AG5" s="42"/>
      <c r="AH5" s="42"/>
      <c r="AI5" s="42"/>
    </row>
    <row r="6">
      <c r="A6" s="39">
        <v>2.0</v>
      </c>
      <c r="B6" s="178" t="s">
        <v>604</v>
      </c>
      <c r="C6" s="48"/>
      <c r="D6" s="48"/>
      <c r="E6" s="39">
        <v>15.5</v>
      </c>
      <c r="F6" s="39">
        <v>16.0</v>
      </c>
      <c r="G6" s="39">
        <v>19.0</v>
      </c>
      <c r="H6" s="39">
        <v>12.0</v>
      </c>
      <c r="I6" s="39">
        <v>14.0</v>
      </c>
      <c r="J6" s="39">
        <v>17.5</v>
      </c>
      <c r="K6" s="39"/>
      <c r="L6" s="39">
        <v>11.0</v>
      </c>
      <c r="M6" s="41">
        <v>10.0</v>
      </c>
      <c r="N6" s="39">
        <v>21.0</v>
      </c>
      <c r="O6" s="39"/>
      <c r="P6" s="42"/>
      <c r="Q6" s="42"/>
      <c r="R6" s="40">
        <v>23.0</v>
      </c>
      <c r="S6" s="40">
        <v>23.0</v>
      </c>
      <c r="T6" s="40">
        <v>24.0</v>
      </c>
      <c r="U6" s="40">
        <v>30.0</v>
      </c>
      <c r="V6" s="40">
        <v>27.0</v>
      </c>
      <c r="W6" s="40">
        <v>24.0</v>
      </c>
      <c r="X6" s="40">
        <v>60.0</v>
      </c>
      <c r="Y6" s="40">
        <v>75.0</v>
      </c>
      <c r="Z6" s="40">
        <v>55.0</v>
      </c>
      <c r="AA6" s="40">
        <v>60.0</v>
      </c>
      <c r="AB6" s="40">
        <v>55.0</v>
      </c>
      <c r="AC6" s="39">
        <v>59.0</v>
      </c>
      <c r="AD6" s="42"/>
      <c r="AE6" s="42"/>
      <c r="AF6" s="42"/>
      <c r="AG6" s="42"/>
      <c r="AH6" s="42"/>
      <c r="AI6" s="42"/>
    </row>
    <row r="7">
      <c r="A7" s="39">
        <v>3.0</v>
      </c>
      <c r="B7" s="178" t="s">
        <v>605</v>
      </c>
      <c r="C7" s="48"/>
      <c r="D7" s="48"/>
      <c r="E7" s="39">
        <v>17.0</v>
      </c>
      <c r="F7" s="39">
        <v>18.0</v>
      </c>
      <c r="G7" s="39">
        <v>18.5</v>
      </c>
      <c r="H7" s="39">
        <v>14.0</v>
      </c>
      <c r="I7" s="39">
        <v>17.0</v>
      </c>
      <c r="J7" s="39">
        <v>18.5</v>
      </c>
      <c r="K7" s="39"/>
      <c r="L7" s="39">
        <v>21.0</v>
      </c>
      <c r="M7" s="39">
        <v>25.0</v>
      </c>
      <c r="N7" s="41">
        <v>9.0</v>
      </c>
      <c r="O7" s="39"/>
      <c r="P7" s="42"/>
      <c r="Q7" s="42"/>
      <c r="R7" s="40">
        <v>24.0</v>
      </c>
      <c r="S7" s="40">
        <v>23.0</v>
      </c>
      <c r="T7" s="40">
        <v>25.0</v>
      </c>
      <c r="U7" s="40">
        <v>28.0</v>
      </c>
      <c r="V7" s="40">
        <v>26.0</v>
      </c>
      <c r="W7" s="40">
        <v>23.0</v>
      </c>
      <c r="X7" s="39">
        <v>68.0</v>
      </c>
      <c r="Y7" s="39">
        <v>96.0</v>
      </c>
      <c r="Z7" s="39">
        <v>65.0</v>
      </c>
      <c r="AA7" s="39">
        <v>68.0</v>
      </c>
      <c r="AB7" s="39">
        <v>78.0</v>
      </c>
      <c r="AC7" s="39">
        <v>76.0</v>
      </c>
      <c r="AD7" s="42"/>
      <c r="AE7" s="42"/>
      <c r="AF7" s="42"/>
      <c r="AG7" s="42"/>
      <c r="AH7" s="42"/>
      <c r="AI7" s="42"/>
    </row>
    <row r="8">
      <c r="A8" s="39">
        <v>4.0</v>
      </c>
      <c r="B8" s="178" t="s">
        <v>606</v>
      </c>
      <c r="C8" s="48"/>
      <c r="D8" s="48"/>
      <c r="E8" s="39">
        <v>15.0</v>
      </c>
      <c r="F8" s="39">
        <v>18.0</v>
      </c>
      <c r="G8" s="39">
        <v>12.0</v>
      </c>
      <c r="H8" s="39">
        <v>12.0</v>
      </c>
      <c r="I8" s="39">
        <v>18.0</v>
      </c>
      <c r="J8" s="39">
        <v>16.0</v>
      </c>
      <c r="K8" s="39"/>
      <c r="L8" s="41" t="s">
        <v>32</v>
      </c>
      <c r="M8" s="41" t="s">
        <v>32</v>
      </c>
      <c r="N8" s="41">
        <v>11.0</v>
      </c>
      <c r="O8" s="39"/>
      <c r="P8" s="42"/>
      <c r="Q8" s="42"/>
      <c r="R8" s="40">
        <v>21.0</v>
      </c>
      <c r="S8" s="40">
        <v>19.0</v>
      </c>
      <c r="T8" s="40">
        <v>25.0</v>
      </c>
      <c r="U8" s="40">
        <v>26.0</v>
      </c>
      <c r="V8" s="40">
        <v>25.0</v>
      </c>
      <c r="W8" s="40">
        <v>16.0</v>
      </c>
      <c r="X8" s="39">
        <v>75.0</v>
      </c>
      <c r="Y8" s="39">
        <v>72.0</v>
      </c>
      <c r="Z8" s="39">
        <v>46.0</v>
      </c>
      <c r="AA8" s="39">
        <v>78.0</v>
      </c>
      <c r="AB8" s="39">
        <v>69.0</v>
      </c>
      <c r="AC8" s="39">
        <v>47.0</v>
      </c>
      <c r="AD8" s="42"/>
      <c r="AE8" s="42"/>
      <c r="AF8" s="42"/>
      <c r="AG8" s="42"/>
      <c r="AH8" s="42"/>
      <c r="AI8" s="42"/>
    </row>
    <row r="9">
      <c r="A9" s="39">
        <v>5.0</v>
      </c>
      <c r="B9" s="178" t="s">
        <v>607</v>
      </c>
      <c r="C9" s="48"/>
      <c r="D9" s="48"/>
      <c r="E9" s="39">
        <v>17.5</v>
      </c>
      <c r="F9" s="39">
        <v>19.0</v>
      </c>
      <c r="G9" s="39">
        <v>18.5</v>
      </c>
      <c r="H9" s="39">
        <v>14.0</v>
      </c>
      <c r="I9" s="39">
        <v>18.5</v>
      </c>
      <c r="J9" s="39">
        <v>19.0</v>
      </c>
      <c r="K9" s="39"/>
      <c r="L9" s="39">
        <v>21.0</v>
      </c>
      <c r="M9" s="39">
        <v>24.0</v>
      </c>
      <c r="N9" s="39">
        <v>18.0</v>
      </c>
      <c r="O9" s="39"/>
      <c r="P9" s="42"/>
      <c r="Q9" s="42"/>
      <c r="R9" s="40">
        <v>24.0</v>
      </c>
      <c r="S9" s="40">
        <v>25.0</v>
      </c>
      <c r="T9" s="40">
        <v>27.0</v>
      </c>
      <c r="U9" s="40">
        <v>24.0</v>
      </c>
      <c r="V9" s="40">
        <v>25.0</v>
      </c>
      <c r="W9" s="40">
        <v>22.0</v>
      </c>
      <c r="X9" s="39">
        <v>76.0</v>
      </c>
      <c r="Y9" s="39">
        <v>94.0</v>
      </c>
      <c r="Z9" s="39">
        <v>74.0</v>
      </c>
      <c r="AA9" s="39">
        <v>82.0</v>
      </c>
      <c r="AB9" s="41" t="s">
        <v>32</v>
      </c>
      <c r="AC9" s="39">
        <v>67.0</v>
      </c>
      <c r="AD9" s="42"/>
      <c r="AE9" s="42"/>
      <c r="AF9" s="42"/>
      <c r="AG9" s="42"/>
      <c r="AH9" s="42"/>
      <c r="AI9" s="42"/>
    </row>
    <row r="10">
      <c r="A10" s="39">
        <v>6.0</v>
      </c>
      <c r="B10" s="178" t="s">
        <v>608</v>
      </c>
      <c r="C10" s="48"/>
      <c r="D10" s="48"/>
      <c r="E10" s="41">
        <v>15.0</v>
      </c>
      <c r="F10" s="41">
        <v>12.0</v>
      </c>
      <c r="G10" s="41">
        <v>10.5</v>
      </c>
      <c r="H10" s="41">
        <v>12.0</v>
      </c>
      <c r="I10" s="39">
        <v>16.0</v>
      </c>
      <c r="J10" s="39">
        <v>14.0</v>
      </c>
      <c r="K10" s="39"/>
      <c r="L10" s="41">
        <v>11.0</v>
      </c>
      <c r="M10" s="41">
        <v>13.0</v>
      </c>
      <c r="N10" s="41" t="s">
        <v>32</v>
      </c>
      <c r="O10" s="39"/>
      <c r="P10" s="42"/>
      <c r="Q10" s="42"/>
      <c r="R10" s="40">
        <v>19.0</v>
      </c>
      <c r="S10" s="40">
        <v>20.0</v>
      </c>
      <c r="T10" s="40">
        <v>17.0</v>
      </c>
      <c r="U10" s="40">
        <v>16.0</v>
      </c>
      <c r="V10" s="40">
        <v>15.0</v>
      </c>
      <c r="W10" s="40">
        <v>18.0</v>
      </c>
      <c r="X10" s="39">
        <v>54.0</v>
      </c>
      <c r="Y10" s="39">
        <v>60.0</v>
      </c>
      <c r="Z10" s="39">
        <v>60.0</v>
      </c>
      <c r="AA10" s="39">
        <v>46.0</v>
      </c>
      <c r="AB10" s="39">
        <v>48.0</v>
      </c>
      <c r="AC10" s="39">
        <v>67.0</v>
      </c>
      <c r="AD10" s="42"/>
      <c r="AE10" s="42"/>
      <c r="AF10" s="42"/>
      <c r="AG10" s="42"/>
      <c r="AH10" s="42"/>
      <c r="AI10" s="42"/>
    </row>
    <row r="11">
      <c r="A11" s="39">
        <v>7.0</v>
      </c>
      <c r="B11" s="178" t="s">
        <v>609</v>
      </c>
      <c r="C11" s="48"/>
      <c r="D11" s="48"/>
      <c r="E11" s="41">
        <v>17.0</v>
      </c>
      <c r="F11" s="41">
        <v>17.5</v>
      </c>
      <c r="G11" s="41">
        <v>15.0</v>
      </c>
      <c r="H11" s="41">
        <v>14.0</v>
      </c>
      <c r="I11" s="39">
        <v>17.0</v>
      </c>
      <c r="J11" s="39">
        <v>19.0</v>
      </c>
      <c r="K11" s="39"/>
      <c r="L11" s="38">
        <v>18.0</v>
      </c>
      <c r="M11" s="39">
        <v>23.0</v>
      </c>
      <c r="N11" s="39">
        <v>16.0</v>
      </c>
      <c r="O11" s="39"/>
      <c r="P11" s="42"/>
      <c r="Q11" s="42"/>
      <c r="R11" s="40">
        <v>22.0</v>
      </c>
      <c r="S11" s="40">
        <v>25.0</v>
      </c>
      <c r="T11" s="40">
        <v>27.0</v>
      </c>
      <c r="U11" s="40">
        <v>29.0</v>
      </c>
      <c r="V11" s="40">
        <v>25.0</v>
      </c>
      <c r="W11" s="40">
        <v>24.0</v>
      </c>
      <c r="X11" s="39">
        <v>72.0</v>
      </c>
      <c r="Y11" s="39">
        <v>90.0</v>
      </c>
      <c r="Z11" s="39">
        <v>71.0</v>
      </c>
      <c r="AA11" s="39">
        <v>74.0</v>
      </c>
      <c r="AB11" s="39">
        <v>59.0</v>
      </c>
      <c r="AC11" s="39">
        <v>56.0</v>
      </c>
      <c r="AD11" s="42"/>
      <c r="AE11" s="42"/>
      <c r="AF11" s="42"/>
      <c r="AG11" s="42"/>
      <c r="AH11" s="42"/>
      <c r="AI11" s="42"/>
    </row>
    <row r="12">
      <c r="A12" s="39">
        <v>8.0</v>
      </c>
      <c r="B12" s="178" t="s">
        <v>610</v>
      </c>
      <c r="C12" s="48"/>
      <c r="D12" s="48"/>
      <c r="E12" s="41">
        <v>15.0</v>
      </c>
      <c r="F12" s="41">
        <v>14.0</v>
      </c>
      <c r="G12" s="41">
        <v>16.0</v>
      </c>
      <c r="H12" s="41">
        <v>14.0</v>
      </c>
      <c r="I12" s="39">
        <v>13.0</v>
      </c>
      <c r="J12" s="39">
        <v>17.0</v>
      </c>
      <c r="K12" s="39"/>
      <c r="L12" s="39">
        <v>19.0</v>
      </c>
      <c r="M12" s="39">
        <v>14.0</v>
      </c>
      <c r="N12" s="41">
        <v>11.0</v>
      </c>
      <c r="O12" s="39"/>
      <c r="P12" s="42"/>
      <c r="Q12" s="42"/>
      <c r="R12" s="40">
        <v>22.0</v>
      </c>
      <c r="S12" s="41">
        <v>10.0</v>
      </c>
      <c r="T12" s="41" t="s">
        <v>32</v>
      </c>
      <c r="U12" s="40">
        <v>26.0</v>
      </c>
      <c r="V12" s="40">
        <v>23.0</v>
      </c>
      <c r="W12" s="40">
        <v>20.0</v>
      </c>
      <c r="X12" s="39">
        <v>46.0</v>
      </c>
      <c r="Y12" s="39">
        <v>52.0</v>
      </c>
      <c r="Z12" s="39">
        <v>19.0</v>
      </c>
      <c r="AA12" s="39">
        <v>44.0</v>
      </c>
      <c r="AB12" s="39">
        <v>67.0</v>
      </c>
      <c r="AC12" s="39">
        <v>48.0</v>
      </c>
      <c r="AD12" s="42"/>
      <c r="AE12" s="42"/>
      <c r="AF12" s="42"/>
      <c r="AG12" s="42"/>
      <c r="AH12" s="42"/>
      <c r="AI12" s="42"/>
    </row>
    <row r="13">
      <c r="A13" s="39">
        <v>9.0</v>
      </c>
      <c r="B13" s="178" t="s">
        <v>611</v>
      </c>
      <c r="C13" s="48"/>
      <c r="D13" s="48"/>
      <c r="E13" s="41">
        <v>19.5</v>
      </c>
      <c r="F13" s="41">
        <v>20.0</v>
      </c>
      <c r="G13" s="41">
        <v>20.0</v>
      </c>
      <c r="H13" s="41">
        <v>20.0</v>
      </c>
      <c r="I13" s="39">
        <v>19.0</v>
      </c>
      <c r="J13" s="39">
        <v>19.0</v>
      </c>
      <c r="K13" s="39"/>
      <c r="L13" s="39">
        <v>24.0</v>
      </c>
      <c r="M13" s="39">
        <v>25.0</v>
      </c>
      <c r="N13" s="39">
        <v>21.0</v>
      </c>
      <c r="O13" s="39"/>
      <c r="P13" s="42"/>
      <c r="Q13" s="42"/>
      <c r="R13" s="40">
        <v>24.0</v>
      </c>
      <c r="S13" s="40">
        <v>25.0</v>
      </c>
      <c r="T13" s="40">
        <v>27.0</v>
      </c>
      <c r="U13" s="40">
        <v>22.0</v>
      </c>
      <c r="V13" s="40">
        <v>26.0</v>
      </c>
      <c r="W13" s="40">
        <v>25.0</v>
      </c>
      <c r="X13" s="39">
        <v>88.0</v>
      </c>
      <c r="Y13" s="39">
        <v>99.0</v>
      </c>
      <c r="Z13" s="39">
        <v>68.0</v>
      </c>
      <c r="AA13" s="39">
        <v>81.0</v>
      </c>
      <c r="AB13" s="39">
        <v>90.0</v>
      </c>
      <c r="AC13" s="39">
        <v>87.0</v>
      </c>
      <c r="AD13" s="42"/>
      <c r="AE13" s="42"/>
      <c r="AF13" s="42"/>
      <c r="AG13" s="42"/>
      <c r="AH13" s="42"/>
      <c r="AI13" s="42"/>
    </row>
    <row r="14">
      <c r="A14" s="39">
        <v>10.0</v>
      </c>
      <c r="B14" s="178" t="s">
        <v>612</v>
      </c>
      <c r="C14" s="48"/>
      <c r="D14" s="48"/>
      <c r="E14" s="41">
        <v>14.0</v>
      </c>
      <c r="F14" s="41">
        <v>13.0</v>
      </c>
      <c r="G14" s="41">
        <v>13.0</v>
      </c>
      <c r="H14" s="41">
        <v>13.0</v>
      </c>
      <c r="I14" s="39">
        <v>10.0</v>
      </c>
      <c r="J14" s="39">
        <v>11.0</v>
      </c>
      <c r="K14" s="39"/>
      <c r="L14" s="41">
        <v>11.0</v>
      </c>
      <c r="M14" s="39">
        <v>15.0</v>
      </c>
      <c r="N14" s="40">
        <v>13.0</v>
      </c>
      <c r="O14" s="41"/>
      <c r="P14" s="42"/>
      <c r="Q14" s="42"/>
      <c r="R14" s="40">
        <v>17.0</v>
      </c>
      <c r="S14" s="40">
        <v>21.0</v>
      </c>
      <c r="T14" s="40">
        <v>17.0</v>
      </c>
      <c r="U14" s="40">
        <v>25.0</v>
      </c>
      <c r="V14" s="40">
        <v>19.0</v>
      </c>
      <c r="W14" s="40">
        <v>20.0</v>
      </c>
      <c r="X14" s="39">
        <v>54.0</v>
      </c>
      <c r="Y14" s="39">
        <v>58.0</v>
      </c>
      <c r="Z14" s="39">
        <v>56.0</v>
      </c>
      <c r="AA14" s="41" t="s">
        <v>32</v>
      </c>
      <c r="AB14" s="39">
        <v>63.0</v>
      </c>
      <c r="AC14" s="39">
        <v>41.0</v>
      </c>
      <c r="AD14" s="42"/>
      <c r="AE14" s="42"/>
      <c r="AF14" s="42"/>
      <c r="AG14" s="42"/>
      <c r="AH14" s="42"/>
      <c r="AI14" s="42"/>
    </row>
    <row r="15">
      <c r="A15" s="39">
        <v>11.0</v>
      </c>
      <c r="B15" s="178" t="s">
        <v>613</v>
      </c>
      <c r="C15" s="48"/>
      <c r="D15" s="48"/>
      <c r="E15" s="39">
        <v>18.5</v>
      </c>
      <c r="F15" s="39">
        <v>16.0</v>
      </c>
      <c r="G15" s="39">
        <v>13.0</v>
      </c>
      <c r="H15" s="39">
        <v>18.5</v>
      </c>
      <c r="I15" s="39">
        <v>8.5</v>
      </c>
      <c r="J15" s="39">
        <v>13.5</v>
      </c>
      <c r="K15" s="39"/>
      <c r="L15" s="39">
        <v>14.0</v>
      </c>
      <c r="M15" s="41">
        <v>11.0</v>
      </c>
      <c r="N15" s="41">
        <v>11.0</v>
      </c>
      <c r="O15" s="39"/>
      <c r="P15" s="42"/>
      <c r="Q15" s="42"/>
      <c r="R15" s="40">
        <v>13.0</v>
      </c>
      <c r="S15" s="41">
        <v>10.0</v>
      </c>
      <c r="T15" s="40">
        <v>19.0</v>
      </c>
      <c r="U15" s="40">
        <v>20.0</v>
      </c>
      <c r="V15" s="41" t="s">
        <v>32</v>
      </c>
      <c r="W15" s="39">
        <v>57.0</v>
      </c>
      <c r="X15" s="39">
        <v>50.0</v>
      </c>
      <c r="Y15" s="39">
        <v>66.0</v>
      </c>
      <c r="Z15" s="39">
        <v>61.0</v>
      </c>
      <c r="AA15" s="39">
        <v>63.0</v>
      </c>
      <c r="AB15" s="39">
        <v>54.0</v>
      </c>
      <c r="AC15" s="39">
        <v>57.0</v>
      </c>
      <c r="AD15" s="42"/>
      <c r="AE15" s="42"/>
      <c r="AF15" s="42"/>
      <c r="AG15" s="42"/>
      <c r="AH15" s="42"/>
      <c r="AI15" s="42"/>
    </row>
    <row r="16">
      <c r="A16" s="39">
        <v>12.0</v>
      </c>
      <c r="B16" s="178" t="s">
        <v>614</v>
      </c>
      <c r="C16" s="48"/>
      <c r="D16" s="48"/>
      <c r="E16" s="39">
        <v>13.0</v>
      </c>
      <c r="F16" s="39">
        <v>14.0</v>
      </c>
      <c r="G16" s="39">
        <v>16.0</v>
      </c>
      <c r="H16" s="39">
        <v>13.0</v>
      </c>
      <c r="I16" s="39">
        <v>12.0</v>
      </c>
      <c r="J16" s="39">
        <v>17.0</v>
      </c>
      <c r="K16" s="39"/>
      <c r="L16" s="39">
        <v>17.0</v>
      </c>
      <c r="M16" s="39">
        <v>17.0</v>
      </c>
      <c r="N16" s="39">
        <v>13.0</v>
      </c>
      <c r="O16" s="39"/>
      <c r="P16" s="42"/>
      <c r="Q16" s="42"/>
      <c r="R16" s="40">
        <v>18.0</v>
      </c>
      <c r="S16" s="40">
        <v>19.0</v>
      </c>
      <c r="T16" s="40">
        <v>27.0</v>
      </c>
      <c r="U16" s="40">
        <v>20.0</v>
      </c>
      <c r="V16" s="40">
        <v>21.0</v>
      </c>
      <c r="W16" s="40">
        <v>20.0</v>
      </c>
      <c r="X16" s="39">
        <v>47.0</v>
      </c>
      <c r="Y16" s="39">
        <v>67.0</v>
      </c>
      <c r="Z16" s="39">
        <v>67.0</v>
      </c>
      <c r="AA16" s="39">
        <v>61.0</v>
      </c>
      <c r="AB16" s="39">
        <v>43.0</v>
      </c>
      <c r="AC16" s="39">
        <v>52.0</v>
      </c>
      <c r="AD16" s="42"/>
      <c r="AE16" s="42"/>
      <c r="AF16" s="42"/>
      <c r="AG16" s="42"/>
      <c r="AH16" s="42"/>
      <c r="AI16" s="42"/>
    </row>
    <row r="17">
      <c r="A17" s="39">
        <v>13.0</v>
      </c>
      <c r="B17" s="207" t="s">
        <v>615</v>
      </c>
      <c r="C17" s="39"/>
      <c r="D17" s="39"/>
      <c r="E17" s="39">
        <v>19.0</v>
      </c>
      <c r="F17" s="39">
        <v>17.5</v>
      </c>
      <c r="G17" s="39">
        <v>18.0</v>
      </c>
      <c r="H17" s="39">
        <v>19.0</v>
      </c>
      <c r="I17" s="39">
        <v>15.0</v>
      </c>
      <c r="J17" s="39">
        <v>19.0</v>
      </c>
      <c r="K17" s="39"/>
      <c r="L17" s="39">
        <v>25.0</v>
      </c>
      <c r="M17" s="39">
        <v>25.0</v>
      </c>
      <c r="N17" s="39">
        <v>18.0</v>
      </c>
      <c r="O17" s="41"/>
      <c r="P17" s="42"/>
      <c r="Q17" s="42"/>
      <c r="R17" s="40">
        <v>23.0</v>
      </c>
      <c r="S17" s="40">
        <v>22.0</v>
      </c>
      <c r="T17" s="40">
        <v>30.0</v>
      </c>
      <c r="U17" s="41">
        <v>14.0</v>
      </c>
      <c r="V17" s="40">
        <v>27.0</v>
      </c>
      <c r="W17" s="40">
        <v>14.0</v>
      </c>
      <c r="X17" s="39">
        <v>76.0</v>
      </c>
      <c r="Y17" s="39">
        <v>96.0</v>
      </c>
      <c r="Z17" s="39">
        <v>86.0</v>
      </c>
      <c r="AA17" s="123">
        <v>25.0</v>
      </c>
      <c r="AB17" s="39">
        <v>88.0</v>
      </c>
      <c r="AC17" s="39">
        <v>78.0</v>
      </c>
      <c r="AD17" s="42"/>
      <c r="AE17" s="42"/>
      <c r="AF17" s="42"/>
      <c r="AG17" s="42"/>
      <c r="AH17" s="42"/>
      <c r="AI17" s="42"/>
    </row>
    <row r="18">
      <c r="A18" s="39">
        <v>14.0</v>
      </c>
      <c r="B18" s="178" t="s">
        <v>616</v>
      </c>
      <c r="C18" s="48"/>
      <c r="D18" s="48"/>
      <c r="E18" s="39">
        <v>5.0</v>
      </c>
      <c r="F18" s="39">
        <v>11.0</v>
      </c>
      <c r="G18" s="39">
        <v>9.5</v>
      </c>
      <c r="H18" s="39">
        <v>5.0</v>
      </c>
      <c r="I18" s="39">
        <v>6.0</v>
      </c>
      <c r="J18" s="39">
        <v>12.5</v>
      </c>
      <c r="K18" s="39"/>
      <c r="L18" s="41">
        <v>9.0</v>
      </c>
      <c r="M18" s="41">
        <v>8.0</v>
      </c>
      <c r="N18" s="41">
        <v>10.0</v>
      </c>
      <c r="O18" s="39"/>
      <c r="P18" s="42"/>
      <c r="Q18" s="42"/>
      <c r="R18" s="40">
        <v>15.0</v>
      </c>
      <c r="S18" s="41">
        <v>12.0</v>
      </c>
      <c r="T18" s="40">
        <v>15.0</v>
      </c>
      <c r="U18" s="40">
        <v>25.0</v>
      </c>
      <c r="V18" s="39">
        <v>37.0</v>
      </c>
      <c r="W18" s="40">
        <v>25.0</v>
      </c>
      <c r="X18" s="39">
        <v>54.0</v>
      </c>
      <c r="Y18" s="39">
        <v>40.0</v>
      </c>
      <c r="Z18" s="41">
        <v>28.0</v>
      </c>
      <c r="AA18" s="39">
        <v>43.0</v>
      </c>
      <c r="AB18" s="41">
        <v>37.0</v>
      </c>
      <c r="AC18" s="41">
        <v>22.0</v>
      </c>
      <c r="AD18" s="42"/>
      <c r="AE18" s="42"/>
      <c r="AF18" s="42"/>
      <c r="AG18" s="42"/>
      <c r="AH18" s="42"/>
      <c r="AI18" s="42"/>
    </row>
    <row r="19">
      <c r="A19" s="39">
        <v>15.0</v>
      </c>
      <c r="B19" s="178" t="s">
        <v>158</v>
      </c>
      <c r="C19" s="48"/>
      <c r="D19" s="48"/>
      <c r="E19" s="39">
        <v>17.0</v>
      </c>
      <c r="F19" s="39">
        <v>18.0</v>
      </c>
      <c r="G19" s="39">
        <v>15.0</v>
      </c>
      <c r="H19" s="39">
        <v>17.0</v>
      </c>
      <c r="I19" s="39">
        <v>16.0</v>
      </c>
      <c r="J19" s="39">
        <v>16.0</v>
      </c>
      <c r="K19" s="39"/>
      <c r="L19" s="39">
        <v>15.0</v>
      </c>
      <c r="M19" s="39">
        <v>19.0</v>
      </c>
      <c r="N19" s="41">
        <v>10.0</v>
      </c>
      <c r="O19" s="39"/>
      <c r="P19" s="42"/>
      <c r="Q19" s="42"/>
      <c r="R19" s="40">
        <v>24.0</v>
      </c>
      <c r="S19" s="40">
        <v>20.0</v>
      </c>
      <c r="T19" s="40">
        <v>27.0</v>
      </c>
      <c r="U19" s="41">
        <v>12.0</v>
      </c>
      <c r="V19" s="40">
        <v>23.0</v>
      </c>
      <c r="W19" s="40">
        <v>12.0</v>
      </c>
      <c r="X19" s="39">
        <v>70.0</v>
      </c>
      <c r="Y19" s="39">
        <v>81.0</v>
      </c>
      <c r="Z19" s="39">
        <v>68.0</v>
      </c>
      <c r="AA19" s="39">
        <v>84.0</v>
      </c>
      <c r="AB19" s="39">
        <v>71.0</v>
      </c>
      <c r="AC19" s="39">
        <v>71.0</v>
      </c>
      <c r="AD19" s="42"/>
      <c r="AE19" s="42"/>
      <c r="AF19" s="42"/>
      <c r="AG19" s="42"/>
      <c r="AH19" s="42"/>
      <c r="AI19" s="42"/>
    </row>
    <row r="20">
      <c r="A20" s="39">
        <v>16.0</v>
      </c>
      <c r="B20" s="178" t="s">
        <v>617</v>
      </c>
      <c r="C20" s="48"/>
      <c r="D20" s="48"/>
      <c r="E20" s="39">
        <v>8.0</v>
      </c>
      <c r="F20" s="39">
        <v>11.0</v>
      </c>
      <c r="G20" s="39">
        <v>11.0</v>
      </c>
      <c r="H20" s="39">
        <v>8.0</v>
      </c>
      <c r="I20" s="39">
        <v>5.0</v>
      </c>
      <c r="J20" s="39">
        <v>11.0</v>
      </c>
      <c r="K20" s="39"/>
      <c r="L20" s="41">
        <v>9.0</v>
      </c>
      <c r="M20" s="41">
        <v>8.0</v>
      </c>
      <c r="N20" s="41" t="s">
        <v>32</v>
      </c>
      <c r="O20" s="39"/>
      <c r="P20" s="42"/>
      <c r="Q20" s="42"/>
      <c r="R20" s="41" t="s">
        <v>32</v>
      </c>
      <c r="S20" s="41" t="s">
        <v>32</v>
      </c>
      <c r="T20" s="41">
        <v>10.0</v>
      </c>
      <c r="U20" s="40">
        <v>19.0</v>
      </c>
      <c r="V20" s="41" t="s">
        <v>32</v>
      </c>
      <c r="W20" s="40">
        <v>19.0</v>
      </c>
      <c r="X20" s="41" t="s">
        <v>32</v>
      </c>
      <c r="Y20" s="41" t="s">
        <v>32</v>
      </c>
      <c r="Z20" s="41" t="s">
        <v>32</v>
      </c>
      <c r="AA20" s="41" t="s">
        <v>32</v>
      </c>
      <c r="AB20" s="41" t="s">
        <v>32</v>
      </c>
      <c r="AC20" s="41" t="s">
        <v>32</v>
      </c>
      <c r="AD20" s="42"/>
      <c r="AE20" s="42"/>
      <c r="AF20" s="42"/>
      <c r="AG20" s="42"/>
      <c r="AH20" s="42"/>
      <c r="AI20" s="42"/>
    </row>
    <row r="21">
      <c r="A21" s="39">
        <v>17.0</v>
      </c>
      <c r="B21" s="207" t="s">
        <v>618</v>
      </c>
      <c r="C21" s="39"/>
      <c r="D21" s="39"/>
      <c r="E21" s="39">
        <v>12.0</v>
      </c>
      <c r="F21" s="39">
        <v>13.0</v>
      </c>
      <c r="G21" s="39">
        <v>13.5</v>
      </c>
      <c r="H21" s="39">
        <v>12.0</v>
      </c>
      <c r="I21" s="39">
        <v>12.0</v>
      </c>
      <c r="J21" s="39">
        <v>13.5</v>
      </c>
      <c r="K21" s="39"/>
      <c r="L21" s="41">
        <v>11.0</v>
      </c>
      <c r="M21" s="41">
        <v>13.0</v>
      </c>
      <c r="N21" s="39">
        <v>14.0</v>
      </c>
      <c r="O21" s="39"/>
      <c r="P21" s="42"/>
      <c r="Q21" s="42"/>
      <c r="R21" s="40">
        <v>13.0</v>
      </c>
      <c r="S21" s="40">
        <v>18.0</v>
      </c>
      <c r="T21" s="40">
        <v>27.0</v>
      </c>
      <c r="U21" s="40">
        <v>16.0</v>
      </c>
      <c r="V21" s="40">
        <v>21.0</v>
      </c>
      <c r="W21" s="40">
        <v>17.0</v>
      </c>
      <c r="X21" s="39">
        <v>65.0</v>
      </c>
      <c r="Y21" s="39">
        <v>53.0</v>
      </c>
      <c r="Z21" s="39">
        <v>76.0</v>
      </c>
      <c r="AA21" s="39">
        <v>63.0</v>
      </c>
      <c r="AB21" s="39">
        <v>44.0</v>
      </c>
      <c r="AC21" s="39">
        <v>71.0</v>
      </c>
      <c r="AD21" s="42"/>
      <c r="AE21" s="42"/>
      <c r="AF21" s="42"/>
      <c r="AG21" s="42"/>
      <c r="AH21" s="42"/>
      <c r="AI21" s="42"/>
    </row>
    <row r="22">
      <c r="A22" s="39">
        <v>18.0</v>
      </c>
      <c r="B22" s="207" t="s">
        <v>619</v>
      </c>
      <c r="C22" s="39"/>
      <c r="D22" s="39"/>
      <c r="E22" s="39">
        <v>20.0</v>
      </c>
      <c r="F22" s="39">
        <v>19.0</v>
      </c>
      <c r="G22" s="39">
        <v>17.0</v>
      </c>
      <c r="H22" s="39">
        <v>20.0</v>
      </c>
      <c r="I22" s="39">
        <v>15.5</v>
      </c>
      <c r="J22" s="39">
        <v>16.5</v>
      </c>
      <c r="K22" s="39"/>
      <c r="L22" s="38">
        <v>20.0</v>
      </c>
      <c r="M22" s="38">
        <v>21.0</v>
      </c>
      <c r="N22" s="38">
        <v>24.0</v>
      </c>
      <c r="O22" s="41"/>
      <c r="P22" s="42"/>
      <c r="Q22" s="42"/>
      <c r="R22" s="40">
        <v>20.0</v>
      </c>
      <c r="S22" s="40">
        <v>24.0</v>
      </c>
      <c r="T22" s="40">
        <v>22.0</v>
      </c>
      <c r="U22" s="40">
        <v>16.0</v>
      </c>
      <c r="V22" s="40">
        <v>26.0</v>
      </c>
      <c r="W22" s="40">
        <v>23.0</v>
      </c>
      <c r="X22" s="39">
        <v>84.0</v>
      </c>
      <c r="Y22" s="39">
        <v>82.0</v>
      </c>
      <c r="Z22" s="39">
        <v>57.0</v>
      </c>
      <c r="AA22" s="39">
        <v>83.0</v>
      </c>
      <c r="AB22" s="39">
        <v>83.0</v>
      </c>
      <c r="AC22" s="39">
        <v>71.0</v>
      </c>
      <c r="AD22" s="42"/>
      <c r="AE22" s="42"/>
      <c r="AF22" s="42"/>
      <c r="AG22" s="42"/>
      <c r="AH22" s="42"/>
      <c r="AI22" s="42"/>
    </row>
    <row r="23">
      <c r="A23" s="39">
        <v>19.0</v>
      </c>
      <c r="B23" s="178" t="s">
        <v>620</v>
      </c>
      <c r="C23" s="48"/>
      <c r="D23" s="48"/>
      <c r="E23" s="39"/>
      <c r="F23" s="39"/>
      <c r="G23" s="39"/>
      <c r="H23" s="39"/>
      <c r="I23" s="80"/>
      <c r="J23" s="80"/>
      <c r="K23" s="124"/>
      <c r="P23" s="42"/>
      <c r="Q23" s="42"/>
      <c r="R23" s="41" t="s">
        <v>32</v>
      </c>
      <c r="S23" s="41" t="s">
        <v>32</v>
      </c>
      <c r="T23" s="41">
        <v>13.0</v>
      </c>
      <c r="U23" s="40">
        <v>22.0</v>
      </c>
      <c r="V23" s="41">
        <v>9.0</v>
      </c>
      <c r="W23" s="41">
        <v>3.0</v>
      </c>
      <c r="X23" s="41">
        <v>27.0</v>
      </c>
      <c r="Y23" s="41">
        <v>29.0</v>
      </c>
      <c r="Z23" s="39">
        <v>40.0</v>
      </c>
      <c r="AA23" s="39">
        <v>48.0</v>
      </c>
      <c r="AB23" s="41">
        <v>34.0</v>
      </c>
      <c r="AC23" s="41">
        <v>29.0</v>
      </c>
      <c r="AD23" s="42"/>
      <c r="AE23" s="42"/>
      <c r="AF23" s="42"/>
      <c r="AG23" s="42"/>
      <c r="AH23" s="42"/>
      <c r="AI23" s="42"/>
    </row>
    <row r="24">
      <c r="A24" s="39">
        <v>20.0</v>
      </c>
      <c r="B24" s="176" t="s">
        <v>621</v>
      </c>
      <c r="C24" s="34"/>
      <c r="D24" s="34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0">
        <v>16.0</v>
      </c>
      <c r="S24" s="41">
        <v>10.0</v>
      </c>
      <c r="T24" s="40">
        <v>16.0</v>
      </c>
      <c r="U24" s="39">
        <v>46.0</v>
      </c>
      <c r="V24" s="40">
        <v>14.0</v>
      </c>
      <c r="W24" s="40">
        <v>12.0</v>
      </c>
      <c r="X24" s="41">
        <v>38.0</v>
      </c>
      <c r="Y24" s="41">
        <v>34.0</v>
      </c>
      <c r="Z24" s="41">
        <v>35.0</v>
      </c>
      <c r="AA24" s="39">
        <v>46.0</v>
      </c>
      <c r="AB24" s="41">
        <v>26.0</v>
      </c>
      <c r="AC24" s="41">
        <v>36.0</v>
      </c>
      <c r="AD24" s="42"/>
      <c r="AE24" s="42"/>
      <c r="AF24" s="42"/>
      <c r="AG24" s="42"/>
      <c r="AH24" s="42"/>
      <c r="AI24" s="42"/>
    </row>
    <row r="25">
      <c r="A25" s="39">
        <v>21.0</v>
      </c>
      <c r="B25" s="176" t="s">
        <v>622</v>
      </c>
      <c r="C25" s="34"/>
      <c r="D25" s="112"/>
      <c r="E25" s="42"/>
      <c r="F25" s="42"/>
      <c r="G25" s="42"/>
      <c r="H25" s="42"/>
      <c r="I25" s="42"/>
      <c r="J25" s="42"/>
      <c r="K25" s="42"/>
      <c r="L25" s="51"/>
      <c r="M25" s="51"/>
      <c r="N25" s="51"/>
      <c r="O25" s="51"/>
      <c r="P25" s="51"/>
      <c r="Q25" s="51"/>
      <c r="R25" s="40">
        <v>21.0</v>
      </c>
      <c r="S25" s="40">
        <v>22.0</v>
      </c>
      <c r="T25" s="40">
        <v>27.0</v>
      </c>
      <c r="U25" s="40">
        <v>25.0</v>
      </c>
      <c r="V25" s="40">
        <v>25.0</v>
      </c>
      <c r="W25" s="40">
        <v>20.0</v>
      </c>
      <c r="X25" s="39">
        <v>81.0</v>
      </c>
      <c r="Y25" s="39">
        <v>85.0</v>
      </c>
      <c r="Z25" s="39">
        <v>67.0</v>
      </c>
      <c r="AA25" s="41" t="s">
        <v>32</v>
      </c>
      <c r="AB25" s="39">
        <v>66.0</v>
      </c>
      <c r="AC25" s="39">
        <v>77.0</v>
      </c>
      <c r="AD25" s="42"/>
      <c r="AE25" s="42"/>
      <c r="AF25" s="42"/>
      <c r="AG25" s="42"/>
      <c r="AH25" s="42"/>
      <c r="AI25" s="42"/>
    </row>
    <row r="26">
      <c r="A26" s="39">
        <v>22.0</v>
      </c>
      <c r="B26" s="176" t="s">
        <v>623</v>
      </c>
      <c r="C26" s="34"/>
      <c r="D26" s="112"/>
      <c r="E26" s="42"/>
      <c r="F26" s="42"/>
      <c r="G26" s="42"/>
      <c r="H26" s="42"/>
      <c r="I26" s="42"/>
      <c r="J26" s="42"/>
      <c r="K26" s="42"/>
      <c r="L26" s="51"/>
      <c r="M26" s="51"/>
      <c r="N26" s="51"/>
      <c r="O26" s="51"/>
      <c r="P26" s="51"/>
      <c r="Q26" s="51"/>
      <c r="R26" s="40" t="s">
        <v>127</v>
      </c>
      <c r="S26" s="40" t="s">
        <v>135</v>
      </c>
      <c r="T26" s="40" t="s">
        <v>135</v>
      </c>
      <c r="U26" s="40" t="s">
        <v>135</v>
      </c>
      <c r="V26" s="40" t="s">
        <v>135</v>
      </c>
      <c r="W26" s="40" t="s">
        <v>135</v>
      </c>
      <c r="X26" s="39" t="s">
        <v>127</v>
      </c>
      <c r="Y26" s="39" t="s">
        <v>127</v>
      </c>
      <c r="Z26" s="39" t="s">
        <v>127</v>
      </c>
      <c r="AA26" s="39" t="s">
        <v>127</v>
      </c>
      <c r="AB26" s="111" t="s">
        <v>127</v>
      </c>
      <c r="AC26" s="111" t="s">
        <v>127</v>
      </c>
      <c r="AD26" s="42"/>
      <c r="AE26" s="42"/>
      <c r="AF26" s="42"/>
      <c r="AG26" s="42"/>
      <c r="AH26" s="42"/>
      <c r="AI26" s="42"/>
    </row>
    <row r="27">
      <c r="A27" s="39">
        <v>23.0</v>
      </c>
      <c r="B27" s="176" t="s">
        <v>81</v>
      </c>
      <c r="C27" s="34"/>
      <c r="D27" s="112"/>
      <c r="E27" s="42"/>
      <c r="F27" s="42"/>
      <c r="G27" s="42"/>
      <c r="H27" s="42"/>
      <c r="I27" s="42"/>
      <c r="J27" s="42"/>
      <c r="K27" s="42"/>
      <c r="L27" s="51"/>
      <c r="M27" s="51"/>
      <c r="N27" s="51"/>
      <c r="O27" s="51"/>
      <c r="P27" s="51"/>
      <c r="Q27" s="51"/>
      <c r="R27" s="40" t="s">
        <v>127</v>
      </c>
      <c r="S27" s="40" t="s">
        <v>135</v>
      </c>
      <c r="T27" s="40" t="s">
        <v>135</v>
      </c>
      <c r="U27" s="40" t="s">
        <v>135</v>
      </c>
      <c r="V27" s="40" t="s">
        <v>135</v>
      </c>
      <c r="W27" s="40" t="s">
        <v>135</v>
      </c>
      <c r="X27" s="39" t="s">
        <v>127</v>
      </c>
      <c r="Y27" s="39" t="s">
        <v>127</v>
      </c>
      <c r="Z27" s="39" t="s">
        <v>127</v>
      </c>
      <c r="AA27" s="39" t="s">
        <v>127</v>
      </c>
      <c r="AB27" s="111" t="s">
        <v>127</v>
      </c>
      <c r="AC27" s="111" t="s">
        <v>127</v>
      </c>
      <c r="AD27" s="42"/>
      <c r="AE27" s="42"/>
      <c r="AF27" s="42"/>
      <c r="AG27" s="42"/>
      <c r="AH27" s="42"/>
      <c r="AI27" s="42"/>
    </row>
    <row r="28">
      <c r="A28" s="39"/>
      <c r="B28" s="176"/>
      <c r="C28" s="34"/>
      <c r="D28" s="112"/>
      <c r="E28" s="42"/>
      <c r="F28" s="42"/>
      <c r="G28" s="42"/>
      <c r="H28" s="42"/>
      <c r="I28" s="42"/>
      <c r="J28" s="42"/>
      <c r="K28" s="42"/>
      <c r="L28" s="51"/>
      <c r="M28" s="51"/>
      <c r="N28" s="51"/>
      <c r="O28" s="51"/>
      <c r="P28" s="51"/>
      <c r="Q28" s="51"/>
      <c r="R28" s="39"/>
      <c r="S28" s="39"/>
      <c r="T28" s="39"/>
      <c r="U28" s="39"/>
      <c r="V28" s="42"/>
      <c r="W28" s="42"/>
      <c r="X28" s="80"/>
      <c r="Y28" s="80"/>
      <c r="Z28" s="80"/>
      <c r="AA28" s="80"/>
      <c r="AB28" s="42"/>
      <c r="AC28" s="42"/>
      <c r="AD28" s="42"/>
      <c r="AE28" s="42"/>
      <c r="AF28" s="42"/>
      <c r="AG28" s="42"/>
      <c r="AH28" s="42"/>
      <c r="AI28" s="42"/>
    </row>
    <row r="29">
      <c r="A29" s="39"/>
      <c r="B29" s="86" t="s">
        <v>85</v>
      </c>
      <c r="C29" s="34"/>
      <c r="D29" s="86" t="s">
        <v>85</v>
      </c>
      <c r="E29" s="56">
        <f t="shared" ref="E29:J29" si="1">SUM(E5:E23)</f>
        <v>276</v>
      </c>
      <c r="F29" s="56">
        <f t="shared" si="1"/>
        <v>284</v>
      </c>
      <c r="G29" s="56">
        <f t="shared" si="1"/>
        <v>272.5</v>
      </c>
      <c r="H29" s="56">
        <f t="shared" si="1"/>
        <v>256.5</v>
      </c>
      <c r="I29" s="56">
        <f t="shared" si="1"/>
        <v>249.5</v>
      </c>
      <c r="J29" s="56">
        <f t="shared" si="1"/>
        <v>286</v>
      </c>
      <c r="K29" s="56"/>
      <c r="L29" s="56">
        <f t="shared" ref="L29:Q29" si="2">sum(L5:L22)</f>
        <v>277</v>
      </c>
      <c r="M29" s="56">
        <f t="shared" si="2"/>
        <v>293</v>
      </c>
      <c r="N29" s="56">
        <f t="shared" si="2"/>
        <v>238</v>
      </c>
      <c r="O29" s="56">
        <f t="shared" si="2"/>
        <v>0</v>
      </c>
      <c r="P29" s="56">
        <f t="shared" si="2"/>
        <v>0</v>
      </c>
      <c r="Q29" s="56">
        <f t="shared" si="2"/>
        <v>0</v>
      </c>
      <c r="R29" s="64">
        <f t="shared" ref="R29:AC29" si="3">sum(R5:R27)</f>
        <v>359</v>
      </c>
      <c r="S29" s="64">
        <f t="shared" si="3"/>
        <v>348</v>
      </c>
      <c r="T29" s="64">
        <f t="shared" si="3"/>
        <v>445</v>
      </c>
      <c r="U29" s="64">
        <f t="shared" si="3"/>
        <v>487</v>
      </c>
      <c r="V29" s="64">
        <f t="shared" si="3"/>
        <v>414</v>
      </c>
      <c r="W29" s="64">
        <f t="shared" si="3"/>
        <v>414</v>
      </c>
      <c r="X29" s="64">
        <f t="shared" si="3"/>
        <v>1249</v>
      </c>
      <c r="Y29" s="64">
        <f t="shared" si="3"/>
        <v>1398</v>
      </c>
      <c r="Z29" s="64">
        <f t="shared" si="3"/>
        <v>1172</v>
      </c>
      <c r="AA29" s="64">
        <f t="shared" si="3"/>
        <v>1112</v>
      </c>
      <c r="AB29" s="64">
        <f t="shared" si="3"/>
        <v>1135</v>
      </c>
      <c r="AC29" s="64">
        <f t="shared" si="3"/>
        <v>1176</v>
      </c>
      <c r="AD29" s="56"/>
      <c r="AE29" s="56"/>
      <c r="AF29" s="56"/>
      <c r="AG29" s="56"/>
      <c r="AH29" s="58"/>
      <c r="AI29" s="42"/>
    </row>
    <row r="30">
      <c r="A30" s="39"/>
      <c r="B30" s="86" t="s">
        <v>86</v>
      </c>
      <c r="C30" s="34"/>
      <c r="D30" s="86" t="s">
        <v>86</v>
      </c>
      <c r="E30" s="56">
        <f t="shared" ref="E30:J30" si="4">E29/E34</f>
        <v>11.04</v>
      </c>
      <c r="F30" s="56">
        <f t="shared" si="4"/>
        <v>11.36</v>
      </c>
      <c r="G30" s="56">
        <f t="shared" si="4"/>
        <v>10.9</v>
      </c>
      <c r="H30" s="56">
        <f t="shared" si="4"/>
        <v>10.26</v>
      </c>
      <c r="I30" s="56">
        <f t="shared" si="4"/>
        <v>9.98</v>
      </c>
      <c r="J30" s="56">
        <f t="shared" si="4"/>
        <v>11.44</v>
      </c>
      <c r="K30" s="56"/>
      <c r="L30" s="59">
        <f t="shared" ref="L30:N30" si="5">L29/L34</f>
        <v>16.29411765</v>
      </c>
      <c r="M30" s="59">
        <f t="shared" si="5"/>
        <v>17.23529412</v>
      </c>
      <c r="N30" s="59">
        <f t="shared" si="5"/>
        <v>14.875</v>
      </c>
      <c r="O30" s="56"/>
      <c r="P30" s="56"/>
      <c r="Q30" s="56"/>
      <c r="R30" s="90">
        <f t="shared" ref="R30:AC30" si="6">R29/R34</f>
        <v>19.94444444</v>
      </c>
      <c r="S30" s="90">
        <f t="shared" si="6"/>
        <v>19.33333333</v>
      </c>
      <c r="T30" s="90">
        <f t="shared" si="6"/>
        <v>22.25</v>
      </c>
      <c r="U30" s="90">
        <f t="shared" si="6"/>
        <v>23.19047619</v>
      </c>
      <c r="V30" s="90">
        <f t="shared" si="6"/>
        <v>23</v>
      </c>
      <c r="W30" s="90">
        <f t="shared" si="6"/>
        <v>20.7</v>
      </c>
      <c r="X30" s="90">
        <f t="shared" si="6"/>
        <v>62.45</v>
      </c>
      <c r="Y30" s="90">
        <f t="shared" si="6"/>
        <v>69.9</v>
      </c>
      <c r="Z30" s="90">
        <f t="shared" si="6"/>
        <v>58.6</v>
      </c>
      <c r="AA30" s="90">
        <f t="shared" si="6"/>
        <v>61.77777778</v>
      </c>
      <c r="AB30" s="90">
        <f t="shared" si="6"/>
        <v>59.73684211</v>
      </c>
      <c r="AC30" s="90">
        <f t="shared" si="6"/>
        <v>58.8</v>
      </c>
      <c r="AD30" s="56"/>
      <c r="AE30" s="56"/>
      <c r="AF30" s="56"/>
      <c r="AG30" s="56"/>
      <c r="AH30" s="58"/>
      <c r="AI30" s="42"/>
    </row>
    <row r="31">
      <c r="A31" s="39"/>
      <c r="B31" s="86" t="s">
        <v>87</v>
      </c>
      <c r="C31" s="34"/>
      <c r="D31" s="86" t="s">
        <v>87</v>
      </c>
      <c r="E31" s="64">
        <v>25.0</v>
      </c>
      <c r="F31" s="56"/>
      <c r="G31" s="56"/>
      <c r="H31" s="56"/>
      <c r="I31" s="56"/>
      <c r="J31" s="56"/>
      <c r="K31" s="56"/>
      <c r="L31" s="64">
        <v>19.0</v>
      </c>
      <c r="M31" s="64">
        <v>19.0</v>
      </c>
      <c r="N31" s="64">
        <v>19.0</v>
      </c>
      <c r="O31" s="56"/>
      <c r="P31" s="56"/>
      <c r="Q31" s="56"/>
      <c r="R31" s="64">
        <v>23.0</v>
      </c>
      <c r="S31" s="64">
        <v>23.0</v>
      </c>
      <c r="T31" s="64">
        <v>23.0</v>
      </c>
      <c r="U31" s="64">
        <v>23.0</v>
      </c>
      <c r="V31" s="64">
        <v>23.0</v>
      </c>
      <c r="W31" s="64">
        <v>23.0</v>
      </c>
      <c r="X31" s="64">
        <v>23.0</v>
      </c>
      <c r="Y31" s="64">
        <v>23.0</v>
      </c>
      <c r="Z31" s="64">
        <v>23.0</v>
      </c>
      <c r="AA31" s="64">
        <v>23.0</v>
      </c>
      <c r="AB31" s="64">
        <v>23.0</v>
      </c>
      <c r="AC31" s="64">
        <v>23.0</v>
      </c>
      <c r="AD31" s="56"/>
      <c r="AE31" s="56"/>
      <c r="AF31" s="56"/>
      <c r="AG31" s="56"/>
      <c r="AH31" s="58"/>
      <c r="AI31" s="42"/>
    </row>
    <row r="32">
      <c r="A32" s="39"/>
      <c r="B32" s="186" t="s">
        <v>624</v>
      </c>
      <c r="C32" s="34"/>
      <c r="D32" s="186" t="s">
        <v>624</v>
      </c>
      <c r="E32" s="64">
        <v>23.0</v>
      </c>
      <c r="F32" s="64">
        <v>25.0</v>
      </c>
      <c r="G32" s="64">
        <v>25.0</v>
      </c>
      <c r="H32" s="64">
        <v>24.0</v>
      </c>
      <c r="I32" s="64">
        <v>22.0</v>
      </c>
      <c r="J32" s="64">
        <v>25.0</v>
      </c>
      <c r="K32" s="64"/>
      <c r="L32" s="64">
        <v>12.0</v>
      </c>
      <c r="M32" s="64">
        <v>11.0</v>
      </c>
      <c r="N32" s="64">
        <v>10.0</v>
      </c>
      <c r="O32" s="56"/>
      <c r="P32" s="56"/>
      <c r="Q32" s="56"/>
      <c r="R32" s="64">
        <v>18.0</v>
      </c>
      <c r="S32" s="64">
        <v>14.0</v>
      </c>
      <c r="T32" s="64">
        <v>18.0</v>
      </c>
      <c r="U32" s="64">
        <v>18.0</v>
      </c>
      <c r="V32" s="64">
        <v>16.0</v>
      </c>
      <c r="W32" s="64">
        <v>18.0</v>
      </c>
      <c r="X32" s="64">
        <v>18.0</v>
      </c>
      <c r="Y32" s="64">
        <v>18.0</v>
      </c>
      <c r="Z32" s="64">
        <v>18.0</v>
      </c>
      <c r="AA32" s="64">
        <v>18.0</v>
      </c>
      <c r="AB32" s="64">
        <v>16.0</v>
      </c>
      <c r="AC32" s="64">
        <v>17.0</v>
      </c>
      <c r="AD32" s="56"/>
      <c r="AE32" s="56"/>
      <c r="AF32" s="56"/>
      <c r="AG32" s="56"/>
      <c r="AH32" s="58"/>
      <c r="AI32" s="42"/>
    </row>
    <row r="33">
      <c r="B33" s="186" t="s">
        <v>625</v>
      </c>
      <c r="D33" s="186" t="s">
        <v>625</v>
      </c>
      <c r="E33" s="64">
        <v>2.0</v>
      </c>
      <c r="F33" s="64">
        <v>0.0</v>
      </c>
      <c r="G33" s="64">
        <v>0.0</v>
      </c>
      <c r="H33" s="64">
        <v>1.0</v>
      </c>
      <c r="I33" s="64">
        <v>3.0</v>
      </c>
      <c r="J33" s="64">
        <v>0.0</v>
      </c>
      <c r="K33" s="64"/>
      <c r="L33" s="64">
        <v>5.0</v>
      </c>
      <c r="M33" s="64">
        <v>6.0</v>
      </c>
      <c r="N33" s="64">
        <v>6.0</v>
      </c>
      <c r="O33" s="56"/>
      <c r="P33" s="56"/>
      <c r="Q33" s="56"/>
      <c r="R33" s="93">
        <v>0.0</v>
      </c>
      <c r="S33" s="93">
        <v>4.0</v>
      </c>
      <c r="T33" s="93">
        <v>2.0</v>
      </c>
      <c r="U33" s="93">
        <v>3.0</v>
      </c>
      <c r="V33" s="93">
        <v>2.0</v>
      </c>
      <c r="W33" s="93">
        <v>2.0</v>
      </c>
      <c r="X33" s="94">
        <v>2.0</v>
      </c>
      <c r="Y33" s="94">
        <v>2.0</v>
      </c>
      <c r="Z33" s="94">
        <v>2.0</v>
      </c>
      <c r="AA33" s="94">
        <v>0.0</v>
      </c>
      <c r="AB33" s="94">
        <v>3.0</v>
      </c>
      <c r="AC33" s="94">
        <v>3.0</v>
      </c>
      <c r="AD33" s="56"/>
      <c r="AE33" s="56"/>
      <c r="AF33" s="56"/>
      <c r="AG33" s="56"/>
      <c r="AH33" s="58"/>
      <c r="AI33" s="42"/>
    </row>
    <row r="34">
      <c r="B34" s="61" t="s">
        <v>90</v>
      </c>
      <c r="D34" s="61" t="s">
        <v>90</v>
      </c>
      <c r="E34" s="64">
        <v>25.0</v>
      </c>
      <c r="F34" s="64">
        <v>25.0</v>
      </c>
      <c r="G34" s="64">
        <v>25.0</v>
      </c>
      <c r="H34" s="64">
        <v>25.0</v>
      </c>
      <c r="I34" s="64">
        <v>25.0</v>
      </c>
      <c r="J34" s="64">
        <v>25.0</v>
      </c>
      <c r="K34" s="64"/>
      <c r="L34" s="64">
        <v>17.0</v>
      </c>
      <c r="M34" s="64">
        <v>17.0</v>
      </c>
      <c r="N34" s="64">
        <v>16.0</v>
      </c>
      <c r="O34" s="56"/>
      <c r="P34" s="56"/>
      <c r="Q34" s="56"/>
      <c r="R34" s="64">
        <v>18.0</v>
      </c>
      <c r="S34" s="64">
        <v>18.0</v>
      </c>
      <c r="T34" s="64">
        <v>20.0</v>
      </c>
      <c r="U34" s="64">
        <v>21.0</v>
      </c>
      <c r="V34" s="64">
        <v>18.0</v>
      </c>
      <c r="W34" s="64">
        <v>20.0</v>
      </c>
      <c r="X34" s="64">
        <v>20.0</v>
      </c>
      <c r="Y34" s="64">
        <v>20.0</v>
      </c>
      <c r="Z34" s="64">
        <v>20.0</v>
      </c>
      <c r="AA34" s="64">
        <v>18.0</v>
      </c>
      <c r="AB34" s="64">
        <v>19.0</v>
      </c>
      <c r="AC34" s="64">
        <v>20.0</v>
      </c>
      <c r="AD34" s="56"/>
      <c r="AE34" s="56"/>
      <c r="AF34" s="56"/>
      <c r="AG34" s="56"/>
      <c r="AH34" s="58"/>
      <c r="AI34" s="42"/>
    </row>
    <row r="35">
      <c r="B35" s="194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>
        <f t="shared" ref="R35:W35" si="7">COUNTIF(R5:R27,"A")</f>
        <v>3</v>
      </c>
      <c r="S35" s="56">
        <f t="shared" si="7"/>
        <v>3</v>
      </c>
      <c r="T35" s="56">
        <f t="shared" si="7"/>
        <v>1</v>
      </c>
      <c r="U35" s="56">
        <f t="shared" si="7"/>
        <v>0</v>
      </c>
      <c r="V35" s="56">
        <f t="shared" si="7"/>
        <v>3</v>
      </c>
      <c r="W35" s="56">
        <f t="shared" si="7"/>
        <v>1</v>
      </c>
      <c r="X35" s="64"/>
      <c r="Y35" s="64"/>
      <c r="Z35" s="64"/>
      <c r="AA35" s="64"/>
      <c r="AB35" s="64"/>
      <c r="AC35" s="64"/>
      <c r="AD35" s="56"/>
      <c r="AE35" s="56"/>
      <c r="AF35" s="56"/>
      <c r="AG35" s="56"/>
      <c r="AH35" s="58"/>
      <c r="AI35" s="42"/>
    </row>
    <row r="36">
      <c r="A36" s="81"/>
      <c r="B36" s="240"/>
      <c r="C36" s="96"/>
      <c r="D36" s="96"/>
      <c r="E36" s="66"/>
      <c r="F36" s="66"/>
      <c r="G36" s="66"/>
      <c r="H36" s="66"/>
      <c r="I36" s="66"/>
      <c r="J36" s="66"/>
      <c r="K36" s="66"/>
      <c r="L36" s="78"/>
      <c r="M36" s="78"/>
      <c r="N36" s="78"/>
      <c r="O36" s="78"/>
      <c r="P36" s="241"/>
      <c r="Q36" s="241"/>
      <c r="R36" s="78"/>
      <c r="S36" s="52"/>
      <c r="T36" s="78"/>
      <c r="U36" s="9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</row>
    <row r="37">
      <c r="A37" s="81"/>
      <c r="B37" s="230"/>
      <c r="C37" s="66"/>
      <c r="D37" s="66"/>
      <c r="E37" s="66"/>
      <c r="F37" s="66"/>
      <c r="G37" s="66"/>
      <c r="H37" s="66"/>
      <c r="I37" s="66"/>
      <c r="J37" s="66"/>
      <c r="K37" s="66"/>
      <c r="L37" s="78"/>
      <c r="M37" s="78"/>
      <c r="N37" s="78"/>
      <c r="O37" s="78"/>
      <c r="P37" s="241"/>
      <c r="Q37" s="241"/>
      <c r="R37" s="74"/>
      <c r="S37" s="74"/>
      <c r="T37" s="74"/>
      <c r="U37" s="74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</row>
    <row r="38">
      <c r="B38" s="230"/>
      <c r="C38" s="66"/>
      <c r="D38" s="66"/>
      <c r="E38" s="66"/>
      <c r="F38" s="66"/>
      <c r="G38" s="66"/>
      <c r="H38" s="66"/>
      <c r="I38" s="66"/>
      <c r="J38" s="66"/>
      <c r="K38" s="66"/>
      <c r="L38" s="99"/>
      <c r="M38" s="99"/>
      <c r="N38" s="99"/>
      <c r="O38" s="100"/>
      <c r="P38" s="242"/>
      <c r="Q38" s="242"/>
      <c r="R38" s="78"/>
      <c r="S38" s="78"/>
      <c r="T38" s="78"/>
      <c r="U38" s="101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r="39">
      <c r="B39" s="225"/>
      <c r="C39" s="66"/>
      <c r="D39" s="66"/>
      <c r="E39" s="66"/>
      <c r="F39" s="66"/>
      <c r="G39" s="66"/>
      <c r="H39" s="66"/>
      <c r="I39" s="66"/>
      <c r="J39" s="78"/>
      <c r="K39" s="78"/>
      <c r="L39" s="78"/>
      <c r="M39" s="78"/>
      <c r="N39" s="79"/>
      <c r="O39" s="79"/>
      <c r="P39" s="242"/>
      <c r="Q39" s="243"/>
      <c r="R39" s="102"/>
      <c r="S39" s="102"/>
      <c r="T39" s="102"/>
      <c r="U39" s="10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</row>
    <row r="40">
      <c r="B40" s="225"/>
      <c r="C40" s="66"/>
      <c r="D40" s="66"/>
      <c r="E40" s="66"/>
      <c r="F40" s="66"/>
      <c r="G40" s="66"/>
      <c r="H40" s="66"/>
      <c r="I40" s="66"/>
      <c r="J40" s="66"/>
      <c r="K40" s="66"/>
      <c r="L40" s="78"/>
      <c r="M40" s="78"/>
      <c r="N40" s="79"/>
      <c r="O40" s="79"/>
      <c r="P40" s="242"/>
      <c r="Q40" s="243"/>
      <c r="R40" s="102"/>
      <c r="S40" s="102"/>
      <c r="T40" s="102"/>
      <c r="U40" s="10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</row>
    <row r="41">
      <c r="B41" s="225"/>
      <c r="C41" s="66"/>
      <c r="D41" s="66"/>
      <c r="E41" s="66"/>
      <c r="F41" s="66"/>
      <c r="G41" s="66"/>
      <c r="H41" s="66"/>
      <c r="I41" s="66"/>
      <c r="J41" s="66"/>
      <c r="K41" s="66"/>
      <c r="L41" s="78"/>
      <c r="M41" s="78"/>
      <c r="N41" s="79"/>
      <c r="O41" s="79"/>
      <c r="P41" s="242"/>
      <c r="Q41" s="243"/>
      <c r="R41" s="102"/>
      <c r="S41" s="102"/>
      <c r="T41" s="102"/>
      <c r="U41" s="10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>
      <c r="B42" s="225"/>
      <c r="C42" s="66"/>
      <c r="D42" s="66"/>
      <c r="E42" s="66"/>
      <c r="F42" s="66"/>
      <c r="G42" s="66"/>
      <c r="H42" s="66"/>
      <c r="I42" s="66"/>
      <c r="J42" s="66"/>
      <c r="K42" s="66"/>
      <c r="L42" s="78"/>
      <c r="M42" s="78"/>
      <c r="N42" s="78"/>
      <c r="O42" s="78"/>
      <c r="P42" s="47"/>
      <c r="Q42" s="81"/>
      <c r="R42" s="81"/>
      <c r="S42" s="81"/>
      <c r="T42" s="81"/>
      <c r="U42" s="81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r="43">
      <c r="B43" s="187"/>
      <c r="C43" s="66"/>
      <c r="D43" s="66"/>
      <c r="E43" s="66"/>
      <c r="F43" s="66"/>
      <c r="G43" s="66"/>
      <c r="H43" s="66"/>
      <c r="I43" s="66"/>
      <c r="J43" s="66"/>
      <c r="K43" s="96"/>
      <c r="L43" s="81"/>
      <c r="M43" s="81"/>
      <c r="N43" s="81"/>
      <c r="O43" s="81"/>
      <c r="P43" s="47"/>
      <c r="Q43" s="81"/>
      <c r="R43" s="81"/>
      <c r="S43" s="81"/>
      <c r="T43" s="81"/>
      <c r="U43" s="81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</row>
    <row r="44">
      <c r="B44" s="193"/>
      <c r="C44" s="81"/>
      <c r="D44" s="81"/>
      <c r="E44" s="81"/>
      <c r="F44" s="81"/>
      <c r="G44" s="81"/>
      <c r="H44" s="81"/>
      <c r="I44" s="81"/>
      <c r="J44" s="81"/>
      <c r="K44" s="81"/>
      <c r="P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</row>
    <row r="45">
      <c r="B45" s="194"/>
      <c r="P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</row>
    <row r="46">
      <c r="B46" s="194"/>
      <c r="P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>
      <c r="B47" s="194"/>
      <c r="P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</row>
    <row r="48">
      <c r="B48" s="194"/>
      <c r="P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</row>
    <row r="49">
      <c r="B49" s="194"/>
      <c r="P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>
      <c r="B50" s="194"/>
      <c r="P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</row>
    <row r="51">
      <c r="B51" s="194"/>
      <c r="P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>
      <c r="B52" s="194"/>
      <c r="P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</row>
    <row r="53">
      <c r="B53" s="194"/>
      <c r="P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</row>
    <row r="54">
      <c r="B54" s="194"/>
      <c r="P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</row>
    <row r="55">
      <c r="B55" s="194"/>
      <c r="P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</row>
    <row r="56">
      <c r="B56" s="194"/>
      <c r="P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>
      <c r="B57" s="194"/>
      <c r="P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>
      <c r="B58" s="194"/>
      <c r="P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>
      <c r="B59" s="194"/>
      <c r="P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>
      <c r="B60" s="194"/>
      <c r="P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>
      <c r="B61" s="194"/>
      <c r="P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>
      <c r="B62" s="194"/>
      <c r="P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>
      <c r="B63" s="194"/>
      <c r="P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>
      <c r="B64" s="194"/>
      <c r="P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>
      <c r="B65" s="194"/>
      <c r="P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>
      <c r="B66" s="194"/>
      <c r="P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>
      <c r="B67" s="194"/>
      <c r="P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>
      <c r="B68" s="194"/>
      <c r="P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>
      <c r="B69" s="194"/>
      <c r="P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>
      <c r="B70" s="194"/>
      <c r="P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>
      <c r="B71" s="194"/>
      <c r="P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>
      <c r="B72" s="194"/>
      <c r="P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>
      <c r="B73" s="194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>
      <c r="B74" s="194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>
      <c r="B75" s="194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>
      <c r="B76" s="194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>
      <c r="B77" s="194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>
      <c r="B78" s="194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>
      <c r="B79" s="194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>
      <c r="B80" s="194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>
      <c r="B81" s="194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>
      <c r="B82" s="194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>
      <c r="B83" s="194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>
      <c r="B84" s="194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>
      <c r="B85" s="194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>
      <c r="B86" s="194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>
      <c r="B87" s="194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>
      <c r="B88" s="194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>
      <c r="B89" s="194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>
      <c r="B90" s="194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>
      <c r="B91" s="194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>
      <c r="B92" s="194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>
      <c r="B93" s="194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>
      <c r="B94" s="194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>
      <c r="B95" s="194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>
      <c r="B96" s="194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>
      <c r="B97" s="194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>
      <c r="B98" s="194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>
      <c r="B99" s="194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>
      <c r="B100" s="194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>
      <c r="B101" s="194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>
      <c r="B102" s="194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>
      <c r="B103" s="194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>
      <c r="B104" s="194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>
      <c r="B105" s="194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>
      <c r="B106" s="194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>
      <c r="B107" s="194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>
      <c r="B108" s="194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>
      <c r="B109" s="194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>
      <c r="B110" s="194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>
      <c r="B111" s="194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>
      <c r="B112" s="194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>
      <c r="B113" s="194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>
      <c r="B114" s="194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>
      <c r="B115" s="194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  <row r="116">
      <c r="B116" s="194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</row>
    <row r="117">
      <c r="B117" s="194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</row>
    <row r="118">
      <c r="B118" s="194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</row>
    <row r="119">
      <c r="B119" s="194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</row>
    <row r="120">
      <c r="B120" s="194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</row>
    <row r="121">
      <c r="B121" s="194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</row>
    <row r="122">
      <c r="B122" s="194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</row>
    <row r="123">
      <c r="B123" s="194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</row>
    <row r="124">
      <c r="B124" s="194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</row>
    <row r="125">
      <c r="B125" s="194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</row>
    <row r="126">
      <c r="B126" s="194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</row>
    <row r="127">
      <c r="B127" s="194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</row>
    <row r="128">
      <c r="B128" s="194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</row>
    <row r="129">
      <c r="B129" s="194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</row>
    <row r="130">
      <c r="B130" s="194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</row>
    <row r="131">
      <c r="B131" s="194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</row>
    <row r="132">
      <c r="B132" s="194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</row>
    <row r="133">
      <c r="B133" s="194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</row>
    <row r="134">
      <c r="B134" s="194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</row>
    <row r="135">
      <c r="B135" s="194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</row>
    <row r="136">
      <c r="B136" s="194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</row>
    <row r="137">
      <c r="B137" s="194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</row>
    <row r="138">
      <c r="B138" s="194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</row>
    <row r="139">
      <c r="B139" s="194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</row>
    <row r="140">
      <c r="B140" s="194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</row>
    <row r="141">
      <c r="B141" s="194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</row>
    <row r="142">
      <c r="B142" s="194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</row>
    <row r="143">
      <c r="B143" s="194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</row>
    <row r="144">
      <c r="B144" s="194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</row>
    <row r="145">
      <c r="B145" s="194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</row>
    <row r="146">
      <c r="B146" s="194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</row>
    <row r="147">
      <c r="B147" s="194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</row>
    <row r="148">
      <c r="B148" s="194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</row>
    <row r="149">
      <c r="B149" s="194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</row>
    <row r="150">
      <c r="B150" s="194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</row>
    <row r="151">
      <c r="B151" s="194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</row>
    <row r="152">
      <c r="B152" s="194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</row>
    <row r="153">
      <c r="B153" s="194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</row>
    <row r="154">
      <c r="B154" s="194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</row>
    <row r="155">
      <c r="B155" s="194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</row>
    <row r="156">
      <c r="B156" s="194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</row>
    <row r="157">
      <c r="B157" s="194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</row>
    <row r="158">
      <c r="B158" s="194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</row>
    <row r="159">
      <c r="B159" s="194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</row>
    <row r="160">
      <c r="B160" s="194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</row>
    <row r="161">
      <c r="B161" s="194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</row>
    <row r="162">
      <c r="B162" s="194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</row>
    <row r="163">
      <c r="B163" s="194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</row>
    <row r="164">
      <c r="B164" s="194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</row>
    <row r="165">
      <c r="B165" s="194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</row>
    <row r="166">
      <c r="B166" s="194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</row>
    <row r="167">
      <c r="B167" s="194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</row>
    <row r="168">
      <c r="B168" s="194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</row>
    <row r="169">
      <c r="B169" s="194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</row>
    <row r="170">
      <c r="B170" s="194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</row>
    <row r="171">
      <c r="B171" s="194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</row>
    <row r="172">
      <c r="B172" s="194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</row>
    <row r="173">
      <c r="B173" s="194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</row>
    <row r="174">
      <c r="B174" s="194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</row>
    <row r="175">
      <c r="B175" s="194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</row>
    <row r="176">
      <c r="B176" s="194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</row>
    <row r="177">
      <c r="B177" s="194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</row>
    <row r="178">
      <c r="B178" s="194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</row>
    <row r="179">
      <c r="B179" s="194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</row>
    <row r="180">
      <c r="B180" s="194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</row>
    <row r="181">
      <c r="B181" s="194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</row>
    <row r="182">
      <c r="B182" s="194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</row>
    <row r="183">
      <c r="B183" s="194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</row>
    <row r="184">
      <c r="B184" s="194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</row>
    <row r="185">
      <c r="B185" s="194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</row>
    <row r="186">
      <c r="B186" s="194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</row>
    <row r="187">
      <c r="B187" s="194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</row>
    <row r="188">
      <c r="B188" s="194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</row>
    <row r="189">
      <c r="B189" s="194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</row>
    <row r="190">
      <c r="B190" s="194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</row>
    <row r="191">
      <c r="B191" s="194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</row>
    <row r="192">
      <c r="B192" s="194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</row>
    <row r="193">
      <c r="B193" s="194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</row>
    <row r="194">
      <c r="B194" s="194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</row>
    <row r="195">
      <c r="B195" s="194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</row>
    <row r="196">
      <c r="B196" s="194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</row>
    <row r="197">
      <c r="B197" s="194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</row>
    <row r="198">
      <c r="B198" s="194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</row>
    <row r="199">
      <c r="B199" s="194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</row>
    <row r="200">
      <c r="B200" s="194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</row>
    <row r="201">
      <c r="B201" s="194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</row>
    <row r="202">
      <c r="B202" s="194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</row>
    <row r="203">
      <c r="B203" s="194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</row>
    <row r="204">
      <c r="B204" s="194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</row>
    <row r="205">
      <c r="B205" s="194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</row>
    <row r="206">
      <c r="B206" s="194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</row>
    <row r="207">
      <c r="B207" s="194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</row>
    <row r="208">
      <c r="B208" s="194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</row>
    <row r="209">
      <c r="B209" s="194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</row>
    <row r="210">
      <c r="B210" s="194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</row>
    <row r="211">
      <c r="B211" s="194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</row>
    <row r="212">
      <c r="B212" s="194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</row>
    <row r="213">
      <c r="B213" s="194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</row>
    <row r="214">
      <c r="B214" s="194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</row>
    <row r="215">
      <c r="B215" s="194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</row>
    <row r="216">
      <c r="B216" s="194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</row>
    <row r="217">
      <c r="B217" s="194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</row>
    <row r="218">
      <c r="B218" s="194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</row>
    <row r="219">
      <c r="B219" s="194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</row>
    <row r="220">
      <c r="B220" s="194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</row>
    <row r="221">
      <c r="B221" s="194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</row>
    <row r="222">
      <c r="B222" s="194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</row>
    <row r="223">
      <c r="B223" s="194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</row>
    <row r="224">
      <c r="B224" s="194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</row>
    <row r="225">
      <c r="B225" s="194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</row>
    <row r="226">
      <c r="B226" s="194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</row>
    <row r="227">
      <c r="B227" s="194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</row>
    <row r="228">
      <c r="B228" s="194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</row>
    <row r="229">
      <c r="B229" s="194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</row>
    <row r="230">
      <c r="B230" s="194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</row>
    <row r="231">
      <c r="B231" s="194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</row>
    <row r="232">
      <c r="B232" s="194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</row>
    <row r="233">
      <c r="B233" s="194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</row>
    <row r="234">
      <c r="B234" s="194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</row>
    <row r="235">
      <c r="B235" s="194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</row>
    <row r="236">
      <c r="B236" s="194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</row>
    <row r="237">
      <c r="B237" s="194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</row>
    <row r="238">
      <c r="B238" s="194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</row>
    <row r="239">
      <c r="B239" s="194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</row>
    <row r="240">
      <c r="B240" s="194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</row>
    <row r="241">
      <c r="B241" s="194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</row>
    <row r="242">
      <c r="B242" s="194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</row>
    <row r="243">
      <c r="B243" s="194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</row>
    <row r="244">
      <c r="B244" s="194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</row>
    <row r="245">
      <c r="B245" s="194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</row>
    <row r="246">
      <c r="B246" s="194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</row>
    <row r="247">
      <c r="B247" s="194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</row>
    <row r="248">
      <c r="B248" s="194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</row>
    <row r="249">
      <c r="B249" s="194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</row>
    <row r="250">
      <c r="B250" s="194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</row>
    <row r="251">
      <c r="B251" s="194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</row>
    <row r="252">
      <c r="B252" s="194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</row>
    <row r="253">
      <c r="B253" s="194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</row>
    <row r="254">
      <c r="B254" s="194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</row>
    <row r="255">
      <c r="B255" s="194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</row>
    <row r="256">
      <c r="B256" s="194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</row>
    <row r="257">
      <c r="B257" s="194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</row>
    <row r="258">
      <c r="B258" s="194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</row>
    <row r="259">
      <c r="B259" s="194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</row>
    <row r="260">
      <c r="B260" s="194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</row>
    <row r="261">
      <c r="B261" s="194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</row>
    <row r="262">
      <c r="B262" s="194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</row>
    <row r="263">
      <c r="B263" s="194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</row>
    <row r="264">
      <c r="B264" s="194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</row>
    <row r="265">
      <c r="B265" s="194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</row>
    <row r="266">
      <c r="B266" s="194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</row>
    <row r="267">
      <c r="B267" s="194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</row>
    <row r="268">
      <c r="B268" s="194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</row>
    <row r="269">
      <c r="B269" s="194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</row>
    <row r="270">
      <c r="B270" s="194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</row>
    <row r="271">
      <c r="B271" s="194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</row>
    <row r="272">
      <c r="B272" s="194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</row>
    <row r="273">
      <c r="B273" s="194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</row>
    <row r="274">
      <c r="B274" s="194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</row>
    <row r="275">
      <c r="B275" s="194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</row>
    <row r="276">
      <c r="B276" s="194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</row>
    <row r="277">
      <c r="B277" s="194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</row>
    <row r="278">
      <c r="B278" s="194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</row>
    <row r="279">
      <c r="B279" s="194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</row>
    <row r="280">
      <c r="B280" s="194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</row>
    <row r="281">
      <c r="B281" s="194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</row>
    <row r="282">
      <c r="B282" s="194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</row>
    <row r="283">
      <c r="B283" s="194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</row>
    <row r="284">
      <c r="B284" s="194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</row>
    <row r="285">
      <c r="B285" s="194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</row>
    <row r="286">
      <c r="B286" s="194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</row>
    <row r="287">
      <c r="B287" s="194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</row>
    <row r="288">
      <c r="B288" s="194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</row>
    <row r="289">
      <c r="B289" s="194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</row>
    <row r="290">
      <c r="B290" s="194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</row>
    <row r="291">
      <c r="B291" s="194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</row>
    <row r="292">
      <c r="B292" s="194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</row>
    <row r="293">
      <c r="B293" s="194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</row>
    <row r="294">
      <c r="B294" s="194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</row>
    <row r="295">
      <c r="B295" s="194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</row>
    <row r="296">
      <c r="B296" s="194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</row>
    <row r="297">
      <c r="B297" s="194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</row>
    <row r="298">
      <c r="B298" s="194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</row>
    <row r="299">
      <c r="B299" s="194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</row>
    <row r="300">
      <c r="B300" s="194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</row>
    <row r="301">
      <c r="B301" s="194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</row>
    <row r="302">
      <c r="B302" s="194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</row>
    <row r="303">
      <c r="B303" s="194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</row>
    <row r="304">
      <c r="B304" s="194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</row>
    <row r="305">
      <c r="B305" s="194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</row>
    <row r="306">
      <c r="B306" s="194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</row>
    <row r="307">
      <c r="B307" s="194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</row>
    <row r="308">
      <c r="B308" s="194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</row>
    <row r="309">
      <c r="B309" s="194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</row>
    <row r="310">
      <c r="B310" s="194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</row>
    <row r="311">
      <c r="B311" s="194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</row>
    <row r="312">
      <c r="B312" s="194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</row>
    <row r="313">
      <c r="B313" s="194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</row>
    <row r="314">
      <c r="B314" s="194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</row>
    <row r="315">
      <c r="B315" s="194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</row>
    <row r="316">
      <c r="B316" s="194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</row>
    <row r="317">
      <c r="B317" s="194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</row>
    <row r="318">
      <c r="B318" s="194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</row>
    <row r="319">
      <c r="B319" s="194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</row>
    <row r="320">
      <c r="B320" s="194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</row>
    <row r="321">
      <c r="B321" s="194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</row>
    <row r="322">
      <c r="B322" s="194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</row>
    <row r="323">
      <c r="B323" s="194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</row>
    <row r="324">
      <c r="B324" s="194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</row>
    <row r="325">
      <c r="B325" s="194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</row>
    <row r="326">
      <c r="B326" s="194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</row>
    <row r="327">
      <c r="B327" s="194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</row>
    <row r="328">
      <c r="B328" s="194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</row>
    <row r="329">
      <c r="B329" s="194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</row>
    <row r="330">
      <c r="B330" s="194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</row>
    <row r="331">
      <c r="B331" s="194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</row>
    <row r="332">
      <c r="B332" s="194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</row>
    <row r="333">
      <c r="B333" s="194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</row>
    <row r="334">
      <c r="B334" s="194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</row>
    <row r="335">
      <c r="B335" s="194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</row>
    <row r="336">
      <c r="B336" s="194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</row>
    <row r="337">
      <c r="B337" s="194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</row>
    <row r="338">
      <c r="B338" s="194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</row>
    <row r="339">
      <c r="B339" s="194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</row>
    <row r="340">
      <c r="B340" s="194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</row>
    <row r="341">
      <c r="B341" s="194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</row>
    <row r="342">
      <c r="B342" s="194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</row>
    <row r="343">
      <c r="B343" s="194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</row>
    <row r="344">
      <c r="B344" s="194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</row>
    <row r="345">
      <c r="B345" s="194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</row>
    <row r="346">
      <c r="B346" s="194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</row>
    <row r="347">
      <c r="B347" s="194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</row>
    <row r="348">
      <c r="B348" s="194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</row>
    <row r="349">
      <c r="B349" s="194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</row>
    <row r="350">
      <c r="B350" s="194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</row>
    <row r="351">
      <c r="B351" s="194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</row>
    <row r="352">
      <c r="B352" s="194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</row>
    <row r="353">
      <c r="B353" s="194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</row>
    <row r="354">
      <c r="B354" s="194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</row>
    <row r="355">
      <c r="B355" s="194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</row>
    <row r="356">
      <c r="B356" s="194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</row>
    <row r="357">
      <c r="B357" s="194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</row>
    <row r="358">
      <c r="B358" s="194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</row>
    <row r="359">
      <c r="B359" s="194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</row>
    <row r="360">
      <c r="B360" s="194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</row>
    <row r="361">
      <c r="B361" s="194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</row>
    <row r="362">
      <c r="B362" s="194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</row>
    <row r="363">
      <c r="B363" s="194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</row>
    <row r="364">
      <c r="B364" s="194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</row>
    <row r="365">
      <c r="B365" s="194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</row>
    <row r="366">
      <c r="B366" s="194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</row>
    <row r="367">
      <c r="B367" s="194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</row>
    <row r="368">
      <c r="B368" s="194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</row>
    <row r="369">
      <c r="B369" s="194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</row>
    <row r="370">
      <c r="B370" s="194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</row>
    <row r="371">
      <c r="B371" s="194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</row>
    <row r="372">
      <c r="B372" s="194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</row>
    <row r="373">
      <c r="B373" s="194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</row>
    <row r="374">
      <c r="B374" s="194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</row>
    <row r="375">
      <c r="B375" s="194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</row>
    <row r="376">
      <c r="B376" s="194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</row>
    <row r="377">
      <c r="B377" s="194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</row>
    <row r="378">
      <c r="B378" s="194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</row>
    <row r="379">
      <c r="B379" s="194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</row>
    <row r="380">
      <c r="B380" s="194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</row>
    <row r="381">
      <c r="B381" s="194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</row>
    <row r="382">
      <c r="B382" s="194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</row>
    <row r="383">
      <c r="B383" s="194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</row>
    <row r="384">
      <c r="B384" s="194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</row>
    <row r="385">
      <c r="B385" s="194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</row>
    <row r="386">
      <c r="B386" s="194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</row>
    <row r="387">
      <c r="B387" s="194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</row>
    <row r="388">
      <c r="B388" s="194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</row>
    <row r="389">
      <c r="B389" s="194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</row>
    <row r="390">
      <c r="B390" s="194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</row>
    <row r="391">
      <c r="B391" s="194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</row>
    <row r="392">
      <c r="B392" s="194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</row>
    <row r="393">
      <c r="B393" s="194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</row>
    <row r="394">
      <c r="B394" s="194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</row>
    <row r="395">
      <c r="B395" s="194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</row>
    <row r="396">
      <c r="B396" s="194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</row>
    <row r="397">
      <c r="B397" s="194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</row>
    <row r="398">
      <c r="B398" s="194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</row>
    <row r="399">
      <c r="B399" s="194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</row>
    <row r="400">
      <c r="B400" s="194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</row>
    <row r="401">
      <c r="B401" s="194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</row>
    <row r="402">
      <c r="B402" s="194"/>
    </row>
    <row r="403">
      <c r="B403" s="194"/>
    </row>
    <row r="404">
      <c r="B404" s="194"/>
    </row>
    <row r="405">
      <c r="B405" s="194"/>
    </row>
    <row r="406">
      <c r="B406" s="194"/>
    </row>
    <row r="407">
      <c r="B407" s="194"/>
    </row>
    <row r="408">
      <c r="B408" s="194"/>
    </row>
    <row r="409">
      <c r="B409" s="194"/>
    </row>
    <row r="410">
      <c r="B410" s="194"/>
    </row>
    <row r="411">
      <c r="B411" s="194"/>
    </row>
    <row r="412">
      <c r="B412" s="194"/>
    </row>
    <row r="413">
      <c r="B413" s="194"/>
    </row>
    <row r="414">
      <c r="B414" s="194"/>
    </row>
    <row r="415">
      <c r="B415" s="194"/>
    </row>
    <row r="416">
      <c r="B416" s="194"/>
    </row>
    <row r="417">
      <c r="B417" s="194"/>
    </row>
    <row r="418">
      <c r="B418" s="194"/>
    </row>
    <row r="419">
      <c r="B419" s="194"/>
    </row>
    <row r="420">
      <c r="B420" s="194"/>
    </row>
    <row r="421">
      <c r="B421" s="194"/>
    </row>
    <row r="422">
      <c r="B422" s="194"/>
    </row>
    <row r="423">
      <c r="B423" s="194"/>
    </row>
    <row r="424">
      <c r="B424" s="194"/>
    </row>
    <row r="425">
      <c r="B425" s="194"/>
    </row>
    <row r="426">
      <c r="B426" s="194"/>
    </row>
    <row r="427">
      <c r="B427" s="194"/>
    </row>
    <row r="428">
      <c r="B428" s="194"/>
    </row>
    <row r="429">
      <c r="B429" s="194"/>
    </row>
    <row r="430">
      <c r="B430" s="194"/>
    </row>
    <row r="431">
      <c r="B431" s="194"/>
    </row>
    <row r="432">
      <c r="B432" s="194"/>
    </row>
    <row r="433">
      <c r="B433" s="194"/>
    </row>
    <row r="434">
      <c r="B434" s="194"/>
    </row>
    <row r="435">
      <c r="B435" s="194"/>
    </row>
    <row r="436">
      <c r="B436" s="194"/>
    </row>
    <row r="437">
      <c r="B437" s="194"/>
    </row>
    <row r="438">
      <c r="B438" s="194"/>
    </row>
    <row r="439">
      <c r="B439" s="194"/>
    </row>
    <row r="440">
      <c r="B440" s="194"/>
    </row>
    <row r="441">
      <c r="B441" s="194"/>
    </row>
    <row r="442">
      <c r="B442" s="194"/>
    </row>
    <row r="443">
      <c r="B443" s="194"/>
    </row>
    <row r="444">
      <c r="B444" s="194"/>
    </row>
    <row r="445">
      <c r="B445" s="194"/>
    </row>
    <row r="446">
      <c r="B446" s="194"/>
    </row>
    <row r="447">
      <c r="B447" s="194"/>
    </row>
    <row r="448">
      <c r="B448" s="194"/>
    </row>
    <row r="449">
      <c r="B449" s="194"/>
    </row>
    <row r="450">
      <c r="B450" s="194"/>
    </row>
    <row r="451">
      <c r="B451" s="194"/>
    </row>
    <row r="452">
      <c r="B452" s="194"/>
    </row>
    <row r="453">
      <c r="B453" s="194"/>
    </row>
    <row r="454">
      <c r="B454" s="194"/>
    </row>
    <row r="455">
      <c r="B455" s="194"/>
    </row>
    <row r="456">
      <c r="B456" s="194"/>
    </row>
    <row r="457">
      <c r="B457" s="194"/>
    </row>
    <row r="458">
      <c r="B458" s="194"/>
    </row>
    <row r="459">
      <c r="B459" s="194"/>
    </row>
    <row r="460">
      <c r="B460" s="194"/>
    </row>
    <row r="461">
      <c r="B461" s="194"/>
    </row>
    <row r="462">
      <c r="B462" s="194"/>
    </row>
    <row r="463">
      <c r="B463" s="194"/>
    </row>
    <row r="464">
      <c r="B464" s="194"/>
    </row>
    <row r="465">
      <c r="B465" s="194"/>
    </row>
    <row r="466">
      <c r="B466" s="194"/>
    </row>
    <row r="467">
      <c r="B467" s="194"/>
    </row>
    <row r="468">
      <c r="B468" s="194"/>
    </row>
    <row r="469">
      <c r="B469" s="194"/>
    </row>
    <row r="470">
      <c r="B470" s="194"/>
    </row>
    <row r="471">
      <c r="B471" s="194"/>
    </row>
    <row r="472">
      <c r="B472" s="194"/>
    </row>
    <row r="473">
      <c r="B473" s="194"/>
    </row>
    <row r="474">
      <c r="B474" s="194"/>
    </row>
    <row r="475">
      <c r="B475" s="194"/>
    </row>
    <row r="476">
      <c r="B476" s="194"/>
    </row>
    <row r="477">
      <c r="B477" s="194"/>
    </row>
    <row r="478">
      <c r="B478" s="194"/>
    </row>
    <row r="479">
      <c r="B479" s="194"/>
    </row>
    <row r="480">
      <c r="B480" s="194"/>
    </row>
    <row r="481">
      <c r="B481" s="194"/>
    </row>
    <row r="482">
      <c r="B482" s="194"/>
    </row>
    <row r="483">
      <c r="B483" s="194"/>
    </row>
    <row r="484">
      <c r="B484" s="194"/>
    </row>
    <row r="485">
      <c r="B485" s="194"/>
    </row>
    <row r="486">
      <c r="B486" s="194"/>
    </row>
    <row r="487">
      <c r="B487" s="194"/>
    </row>
    <row r="488">
      <c r="B488" s="194"/>
    </row>
    <row r="489">
      <c r="B489" s="194"/>
    </row>
    <row r="490">
      <c r="B490" s="194"/>
    </row>
    <row r="491">
      <c r="B491" s="194"/>
    </row>
    <row r="492">
      <c r="B492" s="194"/>
    </row>
    <row r="493">
      <c r="B493" s="194"/>
    </row>
    <row r="494">
      <c r="B494" s="194"/>
    </row>
    <row r="495">
      <c r="B495" s="194"/>
    </row>
    <row r="496">
      <c r="B496" s="194"/>
    </row>
    <row r="497">
      <c r="B497" s="194"/>
    </row>
    <row r="498">
      <c r="B498" s="194"/>
    </row>
    <row r="499">
      <c r="B499" s="194"/>
    </row>
    <row r="500">
      <c r="B500" s="194"/>
    </row>
    <row r="501">
      <c r="B501" s="194"/>
    </row>
    <row r="502">
      <c r="B502" s="194"/>
    </row>
    <row r="503">
      <c r="B503" s="194"/>
    </row>
    <row r="504">
      <c r="B504" s="194"/>
    </row>
    <row r="505">
      <c r="B505" s="194"/>
    </row>
    <row r="506">
      <c r="B506" s="194"/>
    </row>
    <row r="507">
      <c r="B507" s="194"/>
    </row>
    <row r="508">
      <c r="B508" s="194"/>
    </row>
    <row r="509">
      <c r="B509" s="194"/>
    </row>
    <row r="510">
      <c r="B510" s="194"/>
    </row>
    <row r="511">
      <c r="B511" s="194"/>
    </row>
    <row r="512">
      <c r="B512" s="194"/>
    </row>
    <row r="513">
      <c r="B513" s="194"/>
    </row>
    <row r="514">
      <c r="B514" s="194"/>
    </row>
    <row r="515">
      <c r="B515" s="194"/>
    </row>
    <row r="516">
      <c r="B516" s="194"/>
    </row>
    <row r="517">
      <c r="B517" s="194"/>
    </row>
    <row r="518">
      <c r="B518" s="194"/>
    </row>
    <row r="519">
      <c r="B519" s="194"/>
    </row>
    <row r="520">
      <c r="B520" s="194"/>
    </row>
    <row r="521">
      <c r="B521" s="194"/>
    </row>
    <row r="522">
      <c r="B522" s="194"/>
    </row>
    <row r="523">
      <c r="B523" s="194"/>
    </row>
    <row r="524">
      <c r="B524" s="194"/>
    </row>
    <row r="525">
      <c r="B525" s="194"/>
    </row>
    <row r="526">
      <c r="B526" s="194"/>
    </row>
    <row r="527">
      <c r="B527" s="194"/>
    </row>
    <row r="528">
      <c r="B528" s="194"/>
    </row>
    <row r="529">
      <c r="B529" s="194"/>
    </row>
    <row r="530">
      <c r="B530" s="194"/>
    </row>
    <row r="531">
      <c r="B531" s="194"/>
    </row>
    <row r="532">
      <c r="B532" s="194"/>
    </row>
    <row r="533">
      <c r="B533" s="194"/>
    </row>
    <row r="534">
      <c r="B534" s="194"/>
    </row>
    <row r="535">
      <c r="B535" s="194"/>
    </row>
    <row r="536">
      <c r="B536" s="194"/>
    </row>
    <row r="537">
      <c r="B537" s="194"/>
    </row>
    <row r="538">
      <c r="B538" s="194"/>
    </row>
    <row r="539">
      <c r="B539" s="194"/>
    </row>
    <row r="540">
      <c r="B540" s="194"/>
    </row>
    <row r="541">
      <c r="B541" s="194"/>
    </row>
    <row r="542">
      <c r="B542" s="194"/>
    </row>
    <row r="543">
      <c r="B543" s="194"/>
    </row>
    <row r="544">
      <c r="B544" s="194"/>
    </row>
    <row r="545">
      <c r="B545" s="194"/>
    </row>
    <row r="546">
      <c r="B546" s="194"/>
    </row>
    <row r="547">
      <c r="B547" s="194"/>
    </row>
    <row r="548">
      <c r="B548" s="194"/>
    </row>
    <row r="549">
      <c r="B549" s="194"/>
    </row>
    <row r="550">
      <c r="B550" s="194"/>
    </row>
    <row r="551">
      <c r="B551" s="194"/>
    </row>
    <row r="552">
      <c r="B552" s="194"/>
    </row>
    <row r="553">
      <c r="B553" s="194"/>
    </row>
    <row r="554">
      <c r="B554" s="194"/>
    </row>
    <row r="555">
      <c r="B555" s="194"/>
    </row>
    <row r="556">
      <c r="B556" s="194"/>
    </row>
    <row r="557">
      <c r="B557" s="194"/>
    </row>
    <row r="558">
      <c r="B558" s="194"/>
    </row>
    <row r="559">
      <c r="B559" s="194"/>
    </row>
    <row r="560">
      <c r="B560" s="194"/>
    </row>
    <row r="561">
      <c r="B561" s="194"/>
    </row>
    <row r="562">
      <c r="B562" s="194"/>
    </row>
    <row r="563">
      <c r="B563" s="194"/>
    </row>
    <row r="564">
      <c r="B564" s="194"/>
    </row>
    <row r="565">
      <c r="B565" s="194"/>
    </row>
    <row r="566">
      <c r="B566" s="194"/>
    </row>
    <row r="567">
      <c r="B567" s="194"/>
    </row>
    <row r="568">
      <c r="B568" s="194"/>
    </row>
    <row r="569">
      <c r="B569" s="194"/>
    </row>
    <row r="570">
      <c r="B570" s="194"/>
    </row>
    <row r="571">
      <c r="B571" s="194"/>
    </row>
    <row r="572">
      <c r="B572" s="194"/>
    </row>
    <row r="573">
      <c r="B573" s="194"/>
    </row>
    <row r="574">
      <c r="B574" s="194"/>
    </row>
    <row r="575">
      <c r="B575" s="194"/>
    </row>
    <row r="576">
      <c r="B576" s="194"/>
    </row>
    <row r="577">
      <c r="B577" s="194"/>
    </row>
    <row r="578">
      <c r="B578" s="194"/>
    </row>
    <row r="579">
      <c r="B579" s="194"/>
    </row>
    <row r="580">
      <c r="B580" s="194"/>
    </row>
    <row r="581">
      <c r="B581" s="194"/>
    </row>
    <row r="582">
      <c r="B582" s="194"/>
    </row>
    <row r="583">
      <c r="B583" s="194"/>
    </row>
    <row r="584">
      <c r="B584" s="194"/>
    </row>
    <row r="585">
      <c r="B585" s="194"/>
    </row>
    <row r="586">
      <c r="B586" s="194"/>
    </row>
    <row r="587">
      <c r="B587" s="194"/>
    </row>
    <row r="588">
      <c r="B588" s="194"/>
    </row>
    <row r="589">
      <c r="B589" s="194"/>
    </row>
    <row r="590">
      <c r="B590" s="194"/>
    </row>
    <row r="591">
      <c r="B591" s="194"/>
    </row>
    <row r="592">
      <c r="B592" s="194"/>
    </row>
    <row r="593">
      <c r="B593" s="194"/>
    </row>
    <row r="594">
      <c r="B594" s="194"/>
    </row>
    <row r="595">
      <c r="B595" s="194"/>
    </row>
    <row r="596">
      <c r="B596" s="194"/>
    </row>
    <row r="597">
      <c r="B597" s="194"/>
    </row>
    <row r="598">
      <c r="B598" s="194"/>
    </row>
    <row r="599">
      <c r="B599" s="194"/>
    </row>
    <row r="600">
      <c r="B600" s="194"/>
    </row>
    <row r="601">
      <c r="B601" s="194"/>
    </row>
    <row r="602">
      <c r="B602" s="194"/>
    </row>
    <row r="603">
      <c r="B603" s="194"/>
    </row>
    <row r="604">
      <c r="B604" s="194"/>
    </row>
    <row r="605">
      <c r="B605" s="194"/>
    </row>
    <row r="606">
      <c r="B606" s="194"/>
    </row>
    <row r="607">
      <c r="B607" s="194"/>
    </row>
    <row r="608">
      <c r="B608" s="194"/>
    </row>
    <row r="609">
      <c r="B609" s="194"/>
    </row>
    <row r="610">
      <c r="B610" s="194"/>
    </row>
    <row r="611">
      <c r="B611" s="194"/>
    </row>
    <row r="612">
      <c r="B612" s="194"/>
    </row>
    <row r="613">
      <c r="B613" s="194"/>
    </row>
    <row r="614">
      <c r="B614" s="194"/>
    </row>
    <row r="615">
      <c r="B615" s="194"/>
    </row>
    <row r="616">
      <c r="B616" s="194"/>
    </row>
    <row r="617">
      <c r="B617" s="194"/>
    </row>
    <row r="618">
      <c r="B618" s="194"/>
    </row>
    <row r="619">
      <c r="B619" s="194"/>
    </row>
    <row r="620">
      <c r="B620" s="194"/>
    </row>
    <row r="621">
      <c r="B621" s="194"/>
    </row>
    <row r="622">
      <c r="B622" s="194"/>
    </row>
    <row r="623">
      <c r="B623" s="194"/>
    </row>
    <row r="624">
      <c r="B624" s="194"/>
    </row>
    <row r="625">
      <c r="B625" s="194"/>
    </row>
    <row r="626">
      <c r="B626" s="194"/>
    </row>
    <row r="627">
      <c r="B627" s="194"/>
    </row>
    <row r="628">
      <c r="B628" s="194"/>
    </row>
    <row r="629">
      <c r="B629" s="194"/>
    </row>
    <row r="630">
      <c r="B630" s="194"/>
    </row>
    <row r="631">
      <c r="B631" s="194"/>
    </row>
    <row r="632">
      <c r="B632" s="194"/>
    </row>
    <row r="633">
      <c r="B633" s="194"/>
    </row>
    <row r="634">
      <c r="B634" s="194"/>
    </row>
    <row r="635">
      <c r="B635" s="194"/>
    </row>
    <row r="636">
      <c r="B636" s="194"/>
    </row>
    <row r="637">
      <c r="B637" s="194"/>
    </row>
    <row r="638">
      <c r="B638" s="194"/>
    </row>
    <row r="639">
      <c r="B639" s="194"/>
    </row>
    <row r="640">
      <c r="B640" s="194"/>
    </row>
    <row r="641">
      <c r="B641" s="194"/>
    </row>
    <row r="642">
      <c r="B642" s="194"/>
    </row>
    <row r="643">
      <c r="B643" s="194"/>
    </row>
    <row r="644">
      <c r="B644" s="194"/>
    </row>
    <row r="645">
      <c r="B645" s="194"/>
    </row>
    <row r="646">
      <c r="B646" s="194"/>
    </row>
    <row r="647">
      <c r="B647" s="194"/>
    </row>
    <row r="648">
      <c r="B648" s="194"/>
    </row>
    <row r="649">
      <c r="B649" s="194"/>
    </row>
    <row r="650">
      <c r="B650" s="194"/>
    </row>
    <row r="651">
      <c r="B651" s="194"/>
    </row>
    <row r="652">
      <c r="B652" s="194"/>
    </row>
    <row r="653">
      <c r="B653" s="194"/>
    </row>
    <row r="654">
      <c r="B654" s="194"/>
    </row>
    <row r="655">
      <c r="B655" s="194"/>
    </row>
    <row r="656">
      <c r="B656" s="194"/>
    </row>
    <row r="657">
      <c r="B657" s="194"/>
    </row>
    <row r="658">
      <c r="B658" s="194"/>
    </row>
    <row r="659">
      <c r="B659" s="194"/>
    </row>
    <row r="660">
      <c r="B660" s="194"/>
    </row>
    <row r="661">
      <c r="B661" s="194"/>
    </row>
    <row r="662">
      <c r="B662" s="194"/>
    </row>
    <row r="663">
      <c r="B663" s="194"/>
    </row>
    <row r="664">
      <c r="B664" s="194"/>
    </row>
    <row r="665">
      <c r="B665" s="194"/>
    </row>
    <row r="666">
      <c r="B666" s="194"/>
    </row>
    <row r="667">
      <c r="B667" s="194"/>
    </row>
    <row r="668">
      <c r="B668" s="194"/>
    </row>
    <row r="669">
      <c r="B669" s="194"/>
    </row>
    <row r="670">
      <c r="B670" s="194"/>
    </row>
    <row r="671">
      <c r="B671" s="194"/>
    </row>
    <row r="672">
      <c r="B672" s="194"/>
    </row>
    <row r="673">
      <c r="B673" s="194"/>
    </row>
    <row r="674">
      <c r="B674" s="194"/>
    </row>
    <row r="675">
      <c r="B675" s="194"/>
    </row>
    <row r="676">
      <c r="B676" s="194"/>
    </row>
    <row r="677">
      <c r="B677" s="194"/>
    </row>
    <row r="678">
      <c r="B678" s="194"/>
    </row>
    <row r="679">
      <c r="B679" s="194"/>
    </row>
    <row r="680">
      <c r="B680" s="194"/>
    </row>
    <row r="681">
      <c r="B681" s="194"/>
    </row>
    <row r="682">
      <c r="B682" s="194"/>
    </row>
    <row r="683">
      <c r="B683" s="194"/>
    </row>
    <row r="684">
      <c r="B684" s="194"/>
    </row>
    <row r="685">
      <c r="B685" s="194"/>
    </row>
    <row r="686">
      <c r="B686" s="194"/>
    </row>
    <row r="687">
      <c r="B687" s="194"/>
    </row>
    <row r="688">
      <c r="B688" s="194"/>
    </row>
    <row r="689">
      <c r="B689" s="194"/>
    </row>
    <row r="690">
      <c r="B690" s="194"/>
    </row>
    <row r="691">
      <c r="B691" s="194"/>
    </row>
    <row r="692">
      <c r="B692" s="194"/>
    </row>
    <row r="693">
      <c r="B693" s="194"/>
    </row>
    <row r="694">
      <c r="B694" s="194"/>
    </row>
    <row r="695">
      <c r="B695" s="194"/>
    </row>
    <row r="696">
      <c r="B696" s="194"/>
    </row>
    <row r="697">
      <c r="B697" s="194"/>
    </row>
    <row r="698">
      <c r="B698" s="194"/>
    </row>
    <row r="699">
      <c r="B699" s="194"/>
    </row>
    <row r="700">
      <c r="B700" s="194"/>
    </row>
    <row r="701">
      <c r="B701" s="194"/>
    </row>
    <row r="702">
      <c r="B702" s="194"/>
    </row>
    <row r="703">
      <c r="B703" s="194"/>
    </row>
    <row r="704">
      <c r="B704" s="194"/>
    </row>
    <row r="705">
      <c r="B705" s="194"/>
    </row>
    <row r="706">
      <c r="B706" s="194"/>
    </row>
    <row r="707">
      <c r="B707" s="194"/>
    </row>
    <row r="708">
      <c r="B708" s="194"/>
    </row>
    <row r="709">
      <c r="B709" s="194"/>
    </row>
    <row r="710">
      <c r="B710" s="194"/>
    </row>
    <row r="711">
      <c r="B711" s="194"/>
    </row>
    <row r="712">
      <c r="B712" s="194"/>
    </row>
    <row r="713">
      <c r="B713" s="194"/>
    </row>
    <row r="714">
      <c r="B714" s="194"/>
    </row>
    <row r="715">
      <c r="B715" s="194"/>
    </row>
    <row r="716">
      <c r="B716" s="194"/>
    </row>
    <row r="717">
      <c r="B717" s="194"/>
    </row>
    <row r="718">
      <c r="B718" s="194"/>
    </row>
    <row r="719">
      <c r="B719" s="194"/>
    </row>
    <row r="720">
      <c r="B720" s="194"/>
    </row>
    <row r="721">
      <c r="B721" s="194"/>
    </row>
    <row r="722">
      <c r="B722" s="194"/>
    </row>
    <row r="723">
      <c r="B723" s="194"/>
    </row>
    <row r="724">
      <c r="B724" s="194"/>
    </row>
    <row r="725">
      <c r="B725" s="194"/>
    </row>
    <row r="726">
      <c r="B726" s="194"/>
    </row>
    <row r="727">
      <c r="B727" s="194"/>
    </row>
    <row r="728">
      <c r="B728" s="194"/>
    </row>
    <row r="729">
      <c r="B729" s="194"/>
    </row>
    <row r="730">
      <c r="B730" s="194"/>
    </row>
    <row r="731">
      <c r="B731" s="194"/>
    </row>
    <row r="732">
      <c r="B732" s="194"/>
    </row>
    <row r="733">
      <c r="B733" s="194"/>
    </row>
    <row r="734">
      <c r="B734" s="194"/>
    </row>
    <row r="735">
      <c r="B735" s="194"/>
    </row>
    <row r="736">
      <c r="B736" s="194"/>
    </row>
    <row r="737">
      <c r="B737" s="194"/>
    </row>
    <row r="738">
      <c r="B738" s="194"/>
    </row>
    <row r="739">
      <c r="B739" s="194"/>
    </row>
    <row r="740">
      <c r="B740" s="194"/>
    </row>
    <row r="741">
      <c r="B741" s="194"/>
    </row>
    <row r="742">
      <c r="B742" s="194"/>
    </row>
    <row r="743">
      <c r="B743" s="194"/>
    </row>
    <row r="744">
      <c r="B744" s="194"/>
    </row>
    <row r="745">
      <c r="B745" s="194"/>
    </row>
    <row r="746">
      <c r="B746" s="194"/>
    </row>
    <row r="747">
      <c r="B747" s="194"/>
    </row>
    <row r="748">
      <c r="B748" s="194"/>
    </row>
    <row r="749">
      <c r="B749" s="194"/>
    </row>
    <row r="750">
      <c r="B750" s="194"/>
    </row>
    <row r="751">
      <c r="B751" s="194"/>
    </row>
    <row r="752">
      <c r="B752" s="194"/>
    </row>
    <row r="753">
      <c r="B753" s="194"/>
    </row>
    <row r="754">
      <c r="B754" s="194"/>
    </row>
    <row r="755">
      <c r="B755" s="194"/>
    </row>
    <row r="756">
      <c r="B756" s="194"/>
    </row>
    <row r="757">
      <c r="B757" s="194"/>
    </row>
    <row r="758">
      <c r="B758" s="194"/>
    </row>
    <row r="759">
      <c r="B759" s="194"/>
    </row>
    <row r="760">
      <c r="B760" s="194"/>
    </row>
    <row r="761">
      <c r="B761" s="194"/>
    </row>
    <row r="762">
      <c r="B762" s="194"/>
    </row>
    <row r="763">
      <c r="B763" s="194"/>
    </row>
    <row r="764">
      <c r="B764" s="194"/>
    </row>
    <row r="765">
      <c r="B765" s="194"/>
    </row>
    <row r="766">
      <c r="B766" s="194"/>
    </row>
    <row r="767">
      <c r="B767" s="194"/>
    </row>
    <row r="768">
      <c r="B768" s="194"/>
    </row>
    <row r="769">
      <c r="B769" s="194"/>
    </row>
    <row r="770">
      <c r="B770" s="194"/>
    </row>
    <row r="771">
      <c r="B771" s="194"/>
    </row>
    <row r="772">
      <c r="B772" s="194"/>
    </row>
    <row r="773">
      <c r="B773" s="194"/>
    </row>
    <row r="774">
      <c r="B774" s="194"/>
    </row>
    <row r="775">
      <c r="B775" s="194"/>
    </row>
    <row r="776">
      <c r="B776" s="194"/>
    </row>
    <row r="777">
      <c r="B777" s="194"/>
    </row>
    <row r="778">
      <c r="B778" s="194"/>
    </row>
    <row r="779">
      <c r="B779" s="194"/>
    </row>
    <row r="780">
      <c r="B780" s="194"/>
    </row>
    <row r="781">
      <c r="B781" s="194"/>
    </row>
    <row r="782">
      <c r="B782" s="194"/>
    </row>
    <row r="783">
      <c r="B783" s="194"/>
    </row>
    <row r="784">
      <c r="B784" s="194"/>
    </row>
    <row r="785">
      <c r="B785" s="194"/>
    </row>
    <row r="786">
      <c r="B786" s="194"/>
    </row>
    <row r="787">
      <c r="B787" s="194"/>
    </row>
    <row r="788">
      <c r="B788" s="194"/>
    </row>
    <row r="789">
      <c r="B789" s="194"/>
    </row>
    <row r="790">
      <c r="B790" s="194"/>
    </row>
    <row r="791">
      <c r="B791" s="194"/>
    </row>
    <row r="792">
      <c r="B792" s="194"/>
    </row>
    <row r="793">
      <c r="B793" s="194"/>
    </row>
    <row r="794">
      <c r="B794" s="194"/>
    </row>
    <row r="795">
      <c r="B795" s="194"/>
    </row>
    <row r="796">
      <c r="B796" s="194"/>
    </row>
    <row r="797">
      <c r="B797" s="194"/>
    </row>
    <row r="798">
      <c r="B798" s="194"/>
    </row>
    <row r="799">
      <c r="B799" s="194"/>
    </row>
    <row r="800">
      <c r="B800" s="194"/>
    </row>
    <row r="801">
      <c r="B801" s="194"/>
    </row>
    <row r="802">
      <c r="B802" s="194"/>
    </row>
    <row r="803">
      <c r="B803" s="194"/>
    </row>
    <row r="804">
      <c r="B804" s="194"/>
    </row>
    <row r="805">
      <c r="B805" s="194"/>
    </row>
    <row r="806">
      <c r="B806" s="194"/>
    </row>
    <row r="807">
      <c r="B807" s="194"/>
    </row>
    <row r="808">
      <c r="B808" s="194"/>
    </row>
    <row r="809">
      <c r="B809" s="194"/>
    </row>
    <row r="810">
      <c r="B810" s="194"/>
    </row>
    <row r="811">
      <c r="B811" s="194"/>
    </row>
    <row r="812">
      <c r="B812" s="194"/>
    </row>
    <row r="813">
      <c r="B813" s="194"/>
    </row>
    <row r="814">
      <c r="B814" s="194"/>
    </row>
    <row r="815">
      <c r="B815" s="194"/>
    </row>
    <row r="816">
      <c r="B816" s="194"/>
    </row>
    <row r="817">
      <c r="B817" s="194"/>
    </row>
    <row r="818">
      <c r="B818" s="194"/>
    </row>
    <row r="819">
      <c r="B819" s="194"/>
    </row>
    <row r="820">
      <c r="B820" s="194"/>
    </row>
    <row r="821">
      <c r="B821" s="194"/>
    </row>
    <row r="822">
      <c r="B822" s="194"/>
    </row>
    <row r="823">
      <c r="B823" s="194"/>
    </row>
    <row r="824">
      <c r="B824" s="194"/>
    </row>
    <row r="825">
      <c r="B825" s="194"/>
    </row>
    <row r="826">
      <c r="B826" s="194"/>
    </row>
    <row r="827">
      <c r="B827" s="194"/>
    </row>
    <row r="828">
      <c r="B828" s="194"/>
    </row>
    <row r="829">
      <c r="B829" s="194"/>
    </row>
    <row r="830">
      <c r="B830" s="194"/>
    </row>
    <row r="831">
      <c r="B831" s="194"/>
    </row>
    <row r="832">
      <c r="B832" s="194"/>
    </row>
    <row r="833">
      <c r="B833" s="194"/>
    </row>
    <row r="834">
      <c r="B834" s="194"/>
    </row>
    <row r="835">
      <c r="B835" s="194"/>
    </row>
    <row r="836">
      <c r="B836" s="194"/>
    </row>
    <row r="837">
      <c r="B837" s="194"/>
    </row>
    <row r="838">
      <c r="B838" s="194"/>
    </row>
    <row r="839">
      <c r="B839" s="194"/>
    </row>
    <row r="840">
      <c r="B840" s="194"/>
    </row>
    <row r="841">
      <c r="B841" s="194"/>
    </row>
    <row r="842">
      <c r="B842" s="194"/>
    </row>
    <row r="843">
      <c r="B843" s="194"/>
    </row>
    <row r="844">
      <c r="B844" s="194"/>
    </row>
    <row r="845">
      <c r="B845" s="194"/>
    </row>
    <row r="846">
      <c r="B846" s="194"/>
    </row>
    <row r="847">
      <c r="B847" s="194"/>
    </row>
    <row r="848">
      <c r="B848" s="194"/>
    </row>
    <row r="849">
      <c r="B849" s="194"/>
    </row>
    <row r="850">
      <c r="B850" s="194"/>
    </row>
    <row r="851">
      <c r="B851" s="194"/>
    </row>
    <row r="852">
      <c r="B852" s="194"/>
    </row>
    <row r="853">
      <c r="B853" s="194"/>
    </row>
    <row r="854">
      <c r="B854" s="194"/>
    </row>
    <row r="855">
      <c r="B855" s="194"/>
    </row>
    <row r="856">
      <c r="B856" s="194"/>
    </row>
    <row r="857">
      <c r="B857" s="194"/>
    </row>
    <row r="858">
      <c r="B858" s="194"/>
    </row>
    <row r="859">
      <c r="B859" s="194"/>
    </row>
    <row r="860">
      <c r="B860" s="194"/>
    </row>
    <row r="861">
      <c r="B861" s="194"/>
    </row>
    <row r="862">
      <c r="B862" s="194"/>
    </row>
    <row r="863">
      <c r="B863" s="194"/>
    </row>
    <row r="864">
      <c r="B864" s="194"/>
    </row>
    <row r="865">
      <c r="B865" s="194"/>
    </row>
    <row r="866">
      <c r="B866" s="194"/>
    </row>
    <row r="867">
      <c r="B867" s="194"/>
    </row>
    <row r="868">
      <c r="B868" s="194"/>
    </row>
    <row r="869">
      <c r="B869" s="194"/>
    </row>
    <row r="870">
      <c r="B870" s="194"/>
    </row>
    <row r="871">
      <c r="B871" s="194"/>
    </row>
    <row r="872">
      <c r="B872" s="194"/>
    </row>
    <row r="873">
      <c r="B873" s="194"/>
    </row>
    <row r="874">
      <c r="B874" s="194"/>
    </row>
    <row r="875">
      <c r="B875" s="194"/>
    </row>
    <row r="876">
      <c r="B876" s="194"/>
    </row>
    <row r="877">
      <c r="B877" s="194"/>
    </row>
    <row r="878">
      <c r="B878" s="194"/>
    </row>
    <row r="879">
      <c r="B879" s="194"/>
    </row>
    <row r="880">
      <c r="B880" s="194"/>
    </row>
    <row r="881">
      <c r="B881" s="194"/>
    </row>
    <row r="882">
      <c r="B882" s="194"/>
    </row>
    <row r="883">
      <c r="B883" s="194"/>
    </row>
    <row r="884">
      <c r="B884" s="194"/>
    </row>
    <row r="885">
      <c r="B885" s="194"/>
    </row>
    <row r="886">
      <c r="B886" s="194"/>
    </row>
    <row r="887">
      <c r="B887" s="194"/>
    </row>
    <row r="888">
      <c r="B888" s="194"/>
    </row>
    <row r="889">
      <c r="B889" s="194"/>
    </row>
    <row r="890">
      <c r="B890" s="194"/>
    </row>
    <row r="891">
      <c r="B891" s="194"/>
    </row>
    <row r="892">
      <c r="B892" s="194"/>
    </row>
    <row r="893">
      <c r="B893" s="194"/>
    </row>
    <row r="894">
      <c r="B894" s="194"/>
    </row>
    <row r="895">
      <c r="B895" s="194"/>
    </row>
    <row r="896">
      <c r="B896" s="194"/>
    </row>
    <row r="897">
      <c r="B897" s="194"/>
    </row>
    <row r="898">
      <c r="B898" s="194"/>
    </row>
    <row r="899">
      <c r="B899" s="194"/>
    </row>
    <row r="900">
      <c r="B900" s="194"/>
    </row>
    <row r="901">
      <c r="B901" s="194"/>
    </row>
    <row r="902">
      <c r="B902" s="194"/>
    </row>
    <row r="903">
      <c r="B903" s="194"/>
    </row>
    <row r="904">
      <c r="B904" s="194"/>
    </row>
    <row r="905">
      <c r="B905" s="194"/>
    </row>
    <row r="906">
      <c r="B906" s="194"/>
    </row>
    <row r="907">
      <c r="B907" s="194"/>
    </row>
    <row r="908">
      <c r="B908" s="194"/>
    </row>
    <row r="909">
      <c r="B909" s="194"/>
    </row>
    <row r="910">
      <c r="B910" s="194"/>
    </row>
    <row r="911">
      <c r="B911" s="194"/>
    </row>
    <row r="912">
      <c r="B912" s="194"/>
    </row>
    <row r="913">
      <c r="B913" s="194"/>
    </row>
    <row r="914">
      <c r="B914" s="194"/>
    </row>
    <row r="915">
      <c r="B915" s="194"/>
    </row>
    <row r="916">
      <c r="B916" s="194"/>
    </row>
    <row r="917">
      <c r="B917" s="194"/>
    </row>
    <row r="918">
      <c r="B918" s="194"/>
    </row>
    <row r="919">
      <c r="B919" s="194"/>
    </row>
    <row r="920">
      <c r="B920" s="194"/>
    </row>
    <row r="921">
      <c r="B921" s="194"/>
    </row>
    <row r="922">
      <c r="B922" s="194"/>
    </row>
    <row r="923">
      <c r="B923" s="194"/>
    </row>
    <row r="924">
      <c r="B924" s="194"/>
    </row>
    <row r="925">
      <c r="B925" s="194"/>
    </row>
    <row r="926">
      <c r="B926" s="194"/>
    </row>
    <row r="927">
      <c r="B927" s="194"/>
    </row>
    <row r="928">
      <c r="B928" s="194"/>
    </row>
    <row r="929">
      <c r="B929" s="194"/>
    </row>
    <row r="930">
      <c r="B930" s="194"/>
    </row>
    <row r="931">
      <c r="B931" s="194"/>
    </row>
    <row r="932">
      <c r="B932" s="194"/>
    </row>
    <row r="933">
      <c r="B933" s="194"/>
    </row>
    <row r="934">
      <c r="B934" s="194"/>
    </row>
    <row r="935">
      <c r="B935" s="194"/>
    </row>
    <row r="936">
      <c r="B936" s="194"/>
    </row>
    <row r="937">
      <c r="B937" s="194"/>
    </row>
    <row r="938">
      <c r="B938" s="194"/>
    </row>
    <row r="939">
      <c r="B939" s="194"/>
    </row>
    <row r="940">
      <c r="B940" s="194"/>
    </row>
    <row r="941">
      <c r="B941" s="194"/>
    </row>
    <row r="942">
      <c r="B942" s="194"/>
    </row>
    <row r="943">
      <c r="B943" s="194"/>
    </row>
    <row r="944">
      <c r="B944" s="194"/>
    </row>
    <row r="945">
      <c r="B945" s="194"/>
    </row>
    <row r="946">
      <c r="B946" s="194"/>
    </row>
    <row r="947">
      <c r="B947" s="194"/>
    </row>
    <row r="948">
      <c r="B948" s="194"/>
    </row>
    <row r="949">
      <c r="B949" s="194"/>
    </row>
    <row r="950">
      <c r="B950" s="194"/>
    </row>
    <row r="951">
      <c r="B951" s="194"/>
    </row>
    <row r="952">
      <c r="B952" s="194"/>
    </row>
    <row r="953">
      <c r="B953" s="194"/>
    </row>
    <row r="954">
      <c r="B954" s="194"/>
    </row>
    <row r="955">
      <c r="B955" s="194"/>
    </row>
    <row r="956">
      <c r="B956" s="194"/>
    </row>
    <row r="957">
      <c r="B957" s="194"/>
    </row>
    <row r="958">
      <c r="B958" s="194"/>
    </row>
    <row r="959">
      <c r="B959" s="194"/>
    </row>
    <row r="960">
      <c r="B960" s="194"/>
    </row>
    <row r="961">
      <c r="B961" s="194"/>
    </row>
    <row r="962">
      <c r="B962" s="194"/>
    </row>
    <row r="963">
      <c r="B963" s="194"/>
    </row>
    <row r="964">
      <c r="B964" s="194"/>
    </row>
    <row r="965">
      <c r="B965" s="194"/>
    </row>
    <row r="966">
      <c r="B966" s="194"/>
    </row>
    <row r="967">
      <c r="B967" s="194"/>
    </row>
    <row r="968">
      <c r="B968" s="194"/>
    </row>
    <row r="969">
      <c r="B969" s="194"/>
    </row>
    <row r="970">
      <c r="B970" s="194"/>
    </row>
    <row r="971">
      <c r="B971" s="194"/>
    </row>
    <row r="972">
      <c r="B972" s="194"/>
    </row>
    <row r="973">
      <c r="B973" s="194"/>
    </row>
    <row r="974">
      <c r="B974" s="194"/>
    </row>
    <row r="975">
      <c r="B975" s="194"/>
    </row>
    <row r="976">
      <c r="B976" s="194"/>
    </row>
    <row r="977">
      <c r="B977" s="194"/>
    </row>
    <row r="978">
      <c r="B978" s="194"/>
    </row>
    <row r="979">
      <c r="B979" s="194"/>
    </row>
    <row r="980">
      <c r="B980" s="194"/>
    </row>
    <row r="981">
      <c r="B981" s="194"/>
    </row>
    <row r="982">
      <c r="B982" s="194"/>
    </row>
    <row r="983">
      <c r="B983" s="194"/>
    </row>
    <row r="984">
      <c r="B984" s="194"/>
    </row>
    <row r="985">
      <c r="B985" s="194"/>
    </row>
    <row r="986">
      <c r="B986" s="194"/>
    </row>
    <row r="987">
      <c r="B987" s="194"/>
    </row>
    <row r="988">
      <c r="B988" s="194"/>
    </row>
    <row r="989">
      <c r="B989" s="194"/>
    </row>
    <row r="990">
      <c r="B990" s="194"/>
    </row>
    <row r="991">
      <c r="B991" s="194"/>
    </row>
    <row r="992">
      <c r="B992" s="194"/>
    </row>
    <row r="993">
      <c r="B993" s="194"/>
    </row>
    <row r="994">
      <c r="B994" s="194"/>
    </row>
    <row r="995">
      <c r="B995" s="194"/>
    </row>
    <row r="996">
      <c r="B996" s="194"/>
    </row>
    <row r="997">
      <c r="B997" s="194"/>
    </row>
    <row r="998">
      <c r="B998" s="194"/>
    </row>
    <row r="999">
      <c r="B999" s="194"/>
    </row>
    <row r="1000">
      <c r="B1000" s="194"/>
    </row>
    <row r="1001">
      <c r="B1001" s="194"/>
    </row>
    <row r="1002">
      <c r="B1002" s="194"/>
    </row>
  </sheetData>
  <mergeCells count="10">
    <mergeCell ref="R2:W2"/>
    <mergeCell ref="X2:AC2"/>
    <mergeCell ref="A1:B2"/>
    <mergeCell ref="L1:Q1"/>
    <mergeCell ref="R1:W1"/>
    <mergeCell ref="X1:AC1"/>
    <mergeCell ref="AD1:AI1"/>
    <mergeCell ref="E2:J2"/>
    <mergeCell ref="L2:Q2"/>
    <mergeCell ref="AD2:AI2"/>
  </mergeCells>
  <hyperlinks>
    <hyperlink r:id="rId1" ref="A3"/>
    <hyperlink r:id="rId2" ref="P3"/>
    <hyperlink r:id="rId3" ref="V3"/>
    <hyperlink r:id="rId4" ref="AB3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88"/>
    <col customWidth="1" min="2" max="2" width="16.25"/>
    <col customWidth="1" min="3" max="3" width="15.75"/>
    <col customWidth="1" min="4" max="4" width="16.13"/>
    <col customWidth="1" min="14" max="14" width="10.25"/>
    <col customWidth="1" min="15" max="15" width="10.13"/>
    <col customWidth="1" min="17" max="17" width="8.63"/>
    <col customWidth="1" min="18" max="18" width="8.38"/>
    <col customWidth="1" min="19" max="19" width="9.25"/>
    <col customWidth="1" min="20" max="20" width="8.88"/>
    <col customWidth="1" min="21" max="21" width="10.0"/>
    <col customWidth="1" min="22" max="22" width="10.5"/>
    <col customWidth="1" min="23" max="23" width="9.63"/>
    <col customWidth="1" min="24" max="24" width="8.75"/>
    <col customWidth="1" min="25" max="25" width="10.25"/>
    <col customWidth="1" min="26" max="26" width="9.0"/>
    <col customWidth="1" min="27" max="27" width="8.25"/>
    <col customWidth="1" min="28" max="28" width="7.75"/>
    <col customWidth="1" min="29" max="29" width="8.25"/>
    <col customWidth="1" min="30" max="30" width="9.88"/>
    <col customWidth="1" min="31" max="31" width="10.13"/>
    <col customWidth="1" min="32" max="32" width="9.63"/>
    <col customWidth="1" min="34" max="34" width="8.5"/>
    <col customWidth="1" min="35" max="35" width="8.0"/>
    <col customWidth="1" min="36" max="36" width="10.25"/>
    <col customWidth="1" min="37" max="37" width="8.25"/>
  </cols>
  <sheetData>
    <row r="1">
      <c r="A1" s="1" t="s">
        <v>91</v>
      </c>
      <c r="B1" s="82"/>
      <c r="C1" s="2"/>
      <c r="D1" s="3"/>
      <c r="E1" s="10">
        <v>45803.0</v>
      </c>
      <c r="F1" s="11"/>
      <c r="G1" s="11"/>
      <c r="H1" s="11"/>
      <c r="I1" s="11"/>
      <c r="J1" s="11"/>
      <c r="K1" s="11"/>
      <c r="L1" s="12"/>
      <c r="M1" s="244"/>
      <c r="N1" s="196">
        <v>45870.0</v>
      </c>
      <c r="O1" s="11"/>
      <c r="P1" s="11"/>
      <c r="Q1" s="11"/>
      <c r="R1" s="11"/>
      <c r="S1" s="11"/>
      <c r="T1" s="11"/>
      <c r="U1" s="12"/>
      <c r="V1" s="7">
        <v>46016.0</v>
      </c>
      <c r="W1" s="8"/>
      <c r="X1" s="8"/>
      <c r="Y1" s="8"/>
      <c r="Z1" s="8"/>
      <c r="AA1" s="8"/>
      <c r="AB1" s="8"/>
      <c r="AC1" s="9"/>
      <c r="AD1" s="10">
        <v>46023.0</v>
      </c>
      <c r="AE1" s="11"/>
      <c r="AF1" s="11"/>
      <c r="AG1" s="11"/>
      <c r="AH1" s="11"/>
      <c r="AI1" s="11"/>
      <c r="AJ1" s="11"/>
      <c r="AK1" s="12"/>
      <c r="AL1" s="10"/>
      <c r="AM1" s="11"/>
      <c r="AN1" s="11"/>
      <c r="AO1" s="11"/>
      <c r="AP1" s="11"/>
      <c r="AQ1" s="12"/>
    </row>
    <row r="2">
      <c r="A2" s="84"/>
      <c r="B2" s="17"/>
      <c r="C2" s="14"/>
      <c r="D2" s="15"/>
      <c r="E2" s="245" t="s">
        <v>1</v>
      </c>
      <c r="F2" s="11"/>
      <c r="G2" s="11"/>
      <c r="H2" s="11"/>
      <c r="I2" s="11"/>
      <c r="J2" s="11"/>
      <c r="K2" s="11"/>
      <c r="L2" s="12"/>
      <c r="M2" s="246"/>
      <c r="N2" s="226" t="s">
        <v>1</v>
      </c>
      <c r="O2" s="11"/>
      <c r="P2" s="11"/>
      <c r="Q2" s="11"/>
      <c r="R2" s="11"/>
      <c r="S2" s="11"/>
      <c r="T2" s="11"/>
      <c r="U2" s="12"/>
      <c r="V2" s="16" t="s">
        <v>1</v>
      </c>
      <c r="W2" s="17"/>
      <c r="X2" s="17"/>
      <c r="Y2" s="17"/>
      <c r="Z2" s="17"/>
      <c r="AA2" s="17"/>
      <c r="AB2" s="17"/>
      <c r="AC2" s="19"/>
      <c r="AD2" s="20" t="s">
        <v>1</v>
      </c>
      <c r="AE2" s="21"/>
      <c r="AF2" s="21"/>
      <c r="AG2" s="21"/>
      <c r="AH2" s="21"/>
      <c r="AI2" s="21"/>
      <c r="AJ2" s="21"/>
      <c r="AK2" s="22"/>
      <c r="AL2" s="20" t="s">
        <v>1</v>
      </c>
      <c r="AM2" s="21"/>
      <c r="AN2" s="21"/>
      <c r="AO2" s="21"/>
      <c r="AP2" s="21"/>
      <c r="AQ2" s="22"/>
    </row>
    <row r="3">
      <c r="A3" s="23" t="s">
        <v>2</v>
      </c>
      <c r="B3" s="24" t="s">
        <v>3</v>
      </c>
      <c r="C3" s="24" t="s">
        <v>4</v>
      </c>
      <c r="D3" s="24" t="s">
        <v>5</v>
      </c>
      <c r="E3" s="25" t="s">
        <v>626</v>
      </c>
      <c r="F3" s="25" t="s">
        <v>627</v>
      </c>
      <c r="G3" s="25" t="s">
        <v>628</v>
      </c>
      <c r="H3" s="25" t="s">
        <v>629</v>
      </c>
      <c r="I3" s="25" t="s">
        <v>630</v>
      </c>
      <c r="J3" s="25" t="s">
        <v>631</v>
      </c>
      <c r="K3" s="25" t="s">
        <v>632</v>
      </c>
      <c r="L3" s="25" t="s">
        <v>18</v>
      </c>
      <c r="M3" s="25"/>
      <c r="N3" s="25" t="s">
        <v>626</v>
      </c>
      <c r="O3" s="25" t="s">
        <v>633</v>
      </c>
      <c r="P3" s="25" t="s">
        <v>628</v>
      </c>
      <c r="Q3" s="25" t="s">
        <v>629</v>
      </c>
      <c r="R3" s="25" t="s">
        <v>630</v>
      </c>
      <c r="S3" s="25" t="s">
        <v>631</v>
      </c>
      <c r="T3" s="25" t="s">
        <v>632</v>
      </c>
      <c r="U3" s="25" t="s">
        <v>18</v>
      </c>
      <c r="V3" s="24" t="s">
        <v>18</v>
      </c>
      <c r="W3" s="24" t="s">
        <v>19</v>
      </c>
      <c r="X3" s="24" t="s">
        <v>20</v>
      </c>
      <c r="Y3" s="24" t="s">
        <v>21</v>
      </c>
      <c r="Z3" s="247" t="s">
        <v>634</v>
      </c>
      <c r="AA3" s="248" t="s">
        <v>635</v>
      </c>
      <c r="AB3" s="248" t="s">
        <v>484</v>
      </c>
      <c r="AC3" s="248" t="s">
        <v>633</v>
      </c>
      <c r="AD3" s="146" t="s">
        <v>597</v>
      </c>
      <c r="AE3" s="146" t="s">
        <v>598</v>
      </c>
      <c r="AF3" s="146" t="s">
        <v>599</v>
      </c>
      <c r="AG3" s="146" t="s">
        <v>600</v>
      </c>
      <c r="AH3" s="147" t="s">
        <v>636</v>
      </c>
      <c r="AI3" s="147" t="s">
        <v>637</v>
      </c>
      <c r="AJ3" s="147" t="s">
        <v>638</v>
      </c>
      <c r="AK3" s="147" t="s">
        <v>602</v>
      </c>
      <c r="AL3" s="27" t="s">
        <v>24</v>
      </c>
      <c r="AM3" s="27" t="s">
        <v>25</v>
      </c>
      <c r="AN3" s="27" t="s">
        <v>26</v>
      </c>
      <c r="AO3" s="27" t="s">
        <v>27</v>
      </c>
      <c r="AP3" s="28" t="s">
        <v>28</v>
      </c>
      <c r="AQ3" s="28" t="s">
        <v>29</v>
      </c>
    </row>
    <row r="4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108"/>
      <c r="R4" s="31"/>
      <c r="S4" s="31"/>
      <c r="T4" s="31"/>
      <c r="U4" s="31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2"/>
      <c r="AH4" s="33"/>
      <c r="AI4" s="33"/>
      <c r="AJ4" s="33"/>
      <c r="AK4" s="33"/>
      <c r="AL4" s="30"/>
      <c r="AM4" s="30"/>
      <c r="AN4" s="30"/>
      <c r="AO4" s="32"/>
      <c r="AP4" s="33"/>
      <c r="AQ4" s="33"/>
    </row>
    <row r="5">
      <c r="A5" s="39">
        <v>1.0</v>
      </c>
      <c r="B5" s="48" t="s">
        <v>327</v>
      </c>
      <c r="C5" s="48" t="s">
        <v>639</v>
      </c>
      <c r="D5" s="48">
        <v>900243.0</v>
      </c>
      <c r="E5" s="39">
        <v>17.0</v>
      </c>
      <c r="F5" s="39">
        <v>20.0</v>
      </c>
      <c r="G5" s="39">
        <v>20.0</v>
      </c>
      <c r="H5" s="39">
        <v>19.0</v>
      </c>
      <c r="I5" s="39">
        <v>19.0</v>
      </c>
      <c r="J5" s="39">
        <v>17.0</v>
      </c>
      <c r="K5" s="39">
        <v>20.0</v>
      </c>
      <c r="L5" s="39">
        <v>20.0</v>
      </c>
      <c r="M5" s="39"/>
      <c r="N5" s="39">
        <v>20.0</v>
      </c>
      <c r="O5" s="39">
        <v>20.0</v>
      </c>
      <c r="P5" s="39">
        <v>20.0</v>
      </c>
      <c r="Q5" s="39">
        <v>19.0</v>
      </c>
      <c r="R5" s="39">
        <v>19.0</v>
      </c>
      <c r="S5" s="39">
        <v>20.0</v>
      </c>
      <c r="T5" s="39">
        <v>18.0</v>
      </c>
      <c r="U5" s="39">
        <v>19.0</v>
      </c>
      <c r="V5" s="39">
        <v>24.0</v>
      </c>
      <c r="W5" s="39">
        <v>23.0</v>
      </c>
      <c r="X5" s="39">
        <v>15.0</v>
      </c>
      <c r="Y5" s="39">
        <v>24.0</v>
      </c>
      <c r="Z5" s="39">
        <v>23.0</v>
      </c>
      <c r="AA5" s="39">
        <v>24.0</v>
      </c>
      <c r="AB5" s="39">
        <v>23.0</v>
      </c>
      <c r="AC5" s="39">
        <v>14.0</v>
      </c>
      <c r="AD5" s="39">
        <v>63.0</v>
      </c>
      <c r="AE5" s="39">
        <v>56.0</v>
      </c>
      <c r="AF5" s="39">
        <v>46.0</v>
      </c>
      <c r="AG5" s="39">
        <v>72.0</v>
      </c>
      <c r="AH5" s="39">
        <v>43.0</v>
      </c>
      <c r="AI5" s="39">
        <v>38.0</v>
      </c>
      <c r="AJ5" s="39">
        <v>80.0</v>
      </c>
      <c r="AK5" s="39">
        <v>75.0</v>
      </c>
      <c r="AL5" s="42"/>
      <c r="AM5" s="42"/>
      <c r="AN5" s="42"/>
      <c r="AO5" s="42"/>
      <c r="AP5" s="42"/>
      <c r="AQ5" s="42"/>
    </row>
    <row r="6">
      <c r="A6" s="39">
        <v>2.0</v>
      </c>
      <c r="B6" s="48" t="s">
        <v>640</v>
      </c>
      <c r="C6" s="48" t="s">
        <v>641</v>
      </c>
      <c r="D6" s="48">
        <v>900880.0</v>
      </c>
      <c r="E6" s="39">
        <v>15.0</v>
      </c>
      <c r="F6" s="39">
        <v>18.0</v>
      </c>
      <c r="G6" s="39">
        <v>19.0</v>
      </c>
      <c r="H6" s="39">
        <v>17.0</v>
      </c>
      <c r="I6" s="39">
        <v>16.0</v>
      </c>
      <c r="J6" s="39">
        <v>15.0</v>
      </c>
      <c r="K6" s="39">
        <v>19.0</v>
      </c>
      <c r="L6" s="39">
        <v>17.0</v>
      </c>
      <c r="M6" s="39"/>
      <c r="N6" s="39">
        <v>19.0</v>
      </c>
      <c r="O6" s="39">
        <v>17.0</v>
      </c>
      <c r="P6" s="39">
        <v>20.0</v>
      </c>
      <c r="Q6" s="39">
        <v>18.0</v>
      </c>
      <c r="R6" s="39">
        <v>19.0</v>
      </c>
      <c r="S6" s="39">
        <v>19.0</v>
      </c>
      <c r="T6" s="39">
        <v>18.0</v>
      </c>
      <c r="U6" s="39">
        <v>19.0</v>
      </c>
      <c r="V6" s="39">
        <v>20.0</v>
      </c>
      <c r="W6" s="39">
        <v>18.0</v>
      </c>
      <c r="X6" s="39">
        <v>21.0</v>
      </c>
      <c r="Y6" s="39">
        <v>24.0</v>
      </c>
      <c r="Z6" s="39">
        <v>24.0</v>
      </c>
      <c r="AA6" s="39">
        <v>24.0</v>
      </c>
      <c r="AB6" s="39">
        <v>22.0</v>
      </c>
      <c r="AC6" s="39">
        <v>14.0</v>
      </c>
      <c r="AD6" s="39">
        <v>60.0</v>
      </c>
      <c r="AE6" s="39">
        <v>43.0</v>
      </c>
      <c r="AF6" s="39">
        <v>48.0</v>
      </c>
      <c r="AG6" s="39">
        <v>58.0</v>
      </c>
      <c r="AH6" s="39">
        <v>34.0</v>
      </c>
      <c r="AI6" s="39">
        <v>25.0</v>
      </c>
      <c r="AJ6" s="39">
        <v>78.0</v>
      </c>
      <c r="AK6" s="39">
        <v>49.0</v>
      </c>
      <c r="AL6" s="42"/>
      <c r="AM6" s="42"/>
      <c r="AN6" s="42"/>
      <c r="AO6" s="42"/>
      <c r="AP6" s="42"/>
      <c r="AQ6" s="42"/>
    </row>
    <row r="7">
      <c r="A7" s="39">
        <v>3.0</v>
      </c>
      <c r="B7" s="48" t="s">
        <v>642</v>
      </c>
      <c r="C7" s="48" t="s">
        <v>643</v>
      </c>
      <c r="D7" s="48">
        <v>900269.0</v>
      </c>
      <c r="E7" s="39">
        <v>12.0</v>
      </c>
      <c r="F7" s="39">
        <v>16.0</v>
      </c>
      <c r="G7" s="39">
        <v>19.0</v>
      </c>
      <c r="H7" s="39">
        <v>18.0</v>
      </c>
      <c r="I7" s="39">
        <v>17.0</v>
      </c>
      <c r="J7" s="39">
        <v>18.0</v>
      </c>
      <c r="K7" s="39">
        <v>16.0</v>
      </c>
      <c r="L7" s="39">
        <v>18.0</v>
      </c>
      <c r="M7" s="39"/>
      <c r="N7" s="39">
        <v>16.0</v>
      </c>
      <c r="O7" s="39">
        <v>16.0</v>
      </c>
      <c r="P7" s="39">
        <v>19.0</v>
      </c>
      <c r="Q7" s="39">
        <v>18.0</v>
      </c>
      <c r="R7" s="39">
        <v>19.0</v>
      </c>
      <c r="S7" s="39">
        <v>17.0</v>
      </c>
      <c r="T7" s="39">
        <v>19.0</v>
      </c>
      <c r="U7" s="39">
        <v>18.0</v>
      </c>
      <c r="V7" s="39">
        <v>15.0</v>
      </c>
      <c r="W7" s="39">
        <v>20.0</v>
      </c>
      <c r="X7" s="39">
        <v>14.0</v>
      </c>
      <c r="Y7" s="39">
        <v>24.0</v>
      </c>
      <c r="Z7" s="39">
        <v>21.0</v>
      </c>
      <c r="AA7" s="39">
        <v>24.0</v>
      </c>
      <c r="AB7" s="39">
        <v>22.0</v>
      </c>
      <c r="AC7" s="39">
        <v>14.0</v>
      </c>
      <c r="AD7" s="39">
        <v>51.0</v>
      </c>
      <c r="AE7" s="39">
        <v>68.0</v>
      </c>
      <c r="AF7" s="39">
        <v>52.0</v>
      </c>
      <c r="AG7" s="39">
        <v>57.0</v>
      </c>
      <c r="AH7" s="39">
        <v>33.0</v>
      </c>
      <c r="AI7" s="39">
        <v>21.0</v>
      </c>
      <c r="AJ7" s="39">
        <v>61.0</v>
      </c>
      <c r="AK7" s="39">
        <v>41.0</v>
      </c>
      <c r="AL7" s="42"/>
      <c r="AM7" s="42"/>
      <c r="AN7" s="42"/>
      <c r="AO7" s="42"/>
      <c r="AP7" s="42"/>
      <c r="AQ7" s="42"/>
    </row>
    <row r="8">
      <c r="A8" s="39">
        <v>4.0</v>
      </c>
      <c r="B8" s="48" t="s">
        <v>644</v>
      </c>
      <c r="C8" s="48" t="s">
        <v>645</v>
      </c>
      <c r="D8" s="48">
        <v>900722.0</v>
      </c>
      <c r="E8" s="41">
        <v>6.0</v>
      </c>
      <c r="F8" s="39">
        <v>10.0</v>
      </c>
      <c r="G8" s="39">
        <v>17.0</v>
      </c>
      <c r="H8" s="39">
        <v>16.0</v>
      </c>
      <c r="I8" s="39">
        <v>17.0</v>
      </c>
      <c r="J8" s="39">
        <v>15.0</v>
      </c>
      <c r="K8" s="39">
        <v>18.0</v>
      </c>
      <c r="L8" s="39">
        <v>17.0</v>
      </c>
      <c r="M8" s="39"/>
      <c r="N8" s="39">
        <v>17.0</v>
      </c>
      <c r="O8" s="39">
        <v>18.0</v>
      </c>
      <c r="P8" s="39">
        <v>18.0</v>
      </c>
      <c r="Q8" s="39">
        <v>17.0</v>
      </c>
      <c r="R8" s="39">
        <v>19.0</v>
      </c>
      <c r="S8" s="39">
        <v>18.0</v>
      </c>
      <c r="T8" s="39">
        <v>17.0</v>
      </c>
      <c r="U8" s="39">
        <v>18.0</v>
      </c>
      <c r="V8" s="41" t="s">
        <v>32</v>
      </c>
      <c r="W8" s="41" t="s">
        <v>32</v>
      </c>
      <c r="X8" s="41" t="s">
        <v>32</v>
      </c>
      <c r="Y8" s="41" t="s">
        <v>32</v>
      </c>
      <c r="Z8" s="41" t="s">
        <v>32</v>
      </c>
      <c r="AA8" s="41" t="s">
        <v>32</v>
      </c>
      <c r="AB8" s="41" t="s">
        <v>32</v>
      </c>
      <c r="AC8" s="41" t="s">
        <v>32</v>
      </c>
      <c r="AD8" s="39">
        <v>40.0</v>
      </c>
      <c r="AE8" s="39">
        <v>40.0</v>
      </c>
      <c r="AF8" s="39">
        <v>43.0</v>
      </c>
      <c r="AG8" s="39">
        <v>34.0</v>
      </c>
      <c r="AH8" s="39">
        <v>27.0</v>
      </c>
      <c r="AI8" s="39">
        <v>23.0</v>
      </c>
      <c r="AJ8" s="39">
        <v>60.0</v>
      </c>
      <c r="AK8" s="39">
        <v>20.0</v>
      </c>
      <c r="AL8" s="42"/>
      <c r="AM8" s="42"/>
      <c r="AN8" s="42"/>
      <c r="AO8" s="42"/>
      <c r="AP8" s="42"/>
      <c r="AQ8" s="42"/>
    </row>
    <row r="9">
      <c r="A9" s="39">
        <v>5.0</v>
      </c>
      <c r="B9" s="48" t="s">
        <v>646</v>
      </c>
      <c r="C9" s="48" t="s">
        <v>647</v>
      </c>
      <c r="D9" s="48">
        <v>900768.0</v>
      </c>
      <c r="E9" s="39">
        <v>18.0</v>
      </c>
      <c r="F9" s="39">
        <v>19.0</v>
      </c>
      <c r="G9" s="39">
        <v>20.0</v>
      </c>
      <c r="H9" s="39">
        <v>17.0</v>
      </c>
      <c r="I9" s="39">
        <v>19.0</v>
      </c>
      <c r="J9" s="39">
        <v>17.0</v>
      </c>
      <c r="K9" s="39">
        <v>18.0</v>
      </c>
      <c r="L9" s="39">
        <v>17.0</v>
      </c>
      <c r="M9" s="39"/>
      <c r="N9" s="39">
        <v>20.0</v>
      </c>
      <c r="O9" s="39">
        <v>18.0</v>
      </c>
      <c r="P9" s="39">
        <v>19.0</v>
      </c>
      <c r="Q9" s="39">
        <v>18.0</v>
      </c>
      <c r="R9" s="39">
        <v>18.0</v>
      </c>
      <c r="S9" s="39">
        <v>19.0</v>
      </c>
      <c r="T9" s="39">
        <v>16.0</v>
      </c>
      <c r="U9" s="39">
        <v>17.0</v>
      </c>
      <c r="V9" s="39">
        <v>23.0</v>
      </c>
      <c r="W9" s="39">
        <v>16.0</v>
      </c>
      <c r="X9" s="39">
        <v>16.0</v>
      </c>
      <c r="Y9" s="39">
        <v>20.0</v>
      </c>
      <c r="Z9" s="39">
        <v>20.0</v>
      </c>
      <c r="AA9" s="39">
        <v>24.0</v>
      </c>
      <c r="AB9" s="39">
        <v>22.0</v>
      </c>
      <c r="AC9" s="39">
        <v>14.0</v>
      </c>
      <c r="AD9" s="39">
        <v>50.0</v>
      </c>
      <c r="AE9" s="39">
        <v>47.0</v>
      </c>
      <c r="AF9" s="39">
        <v>47.0</v>
      </c>
      <c r="AG9" s="39">
        <v>64.0</v>
      </c>
      <c r="AH9" s="39">
        <v>33.0</v>
      </c>
      <c r="AI9" s="39">
        <v>20.0</v>
      </c>
      <c r="AJ9" s="39">
        <v>59.0</v>
      </c>
      <c r="AK9" s="39">
        <v>46.0</v>
      </c>
      <c r="AL9" s="42"/>
      <c r="AM9" s="42"/>
      <c r="AN9" s="42"/>
      <c r="AO9" s="42"/>
      <c r="AP9" s="42"/>
      <c r="AQ9" s="42"/>
    </row>
    <row r="10">
      <c r="A10" s="39">
        <v>6.0</v>
      </c>
      <c r="B10" s="48" t="s">
        <v>358</v>
      </c>
      <c r="C10" s="48" t="s">
        <v>342</v>
      </c>
      <c r="D10" s="48">
        <v>901076.0</v>
      </c>
      <c r="E10" s="39">
        <v>17.0</v>
      </c>
      <c r="F10" s="39">
        <v>15.0</v>
      </c>
      <c r="G10" s="39">
        <v>19.0</v>
      </c>
      <c r="H10" s="39">
        <v>16.0</v>
      </c>
      <c r="I10" s="39">
        <v>17.0</v>
      </c>
      <c r="J10" s="39">
        <v>15.0</v>
      </c>
      <c r="K10" s="39">
        <v>15.0</v>
      </c>
      <c r="L10" s="39">
        <v>15.0</v>
      </c>
      <c r="M10" s="39"/>
      <c r="N10" s="39">
        <v>17.0</v>
      </c>
      <c r="O10" s="39">
        <v>15.0</v>
      </c>
      <c r="P10" s="39">
        <v>19.0</v>
      </c>
      <c r="Q10" s="39">
        <v>16.0</v>
      </c>
      <c r="R10" s="39">
        <v>18.0</v>
      </c>
      <c r="S10" s="39">
        <v>17.0</v>
      </c>
      <c r="T10" s="39">
        <v>17.0</v>
      </c>
      <c r="U10" s="39">
        <v>19.0</v>
      </c>
      <c r="V10" s="39">
        <v>22.0</v>
      </c>
      <c r="W10" s="39">
        <v>18.0</v>
      </c>
      <c r="X10" s="39">
        <v>16.0</v>
      </c>
      <c r="Y10" s="39">
        <v>24.0</v>
      </c>
      <c r="Z10" s="39">
        <v>23.0</v>
      </c>
      <c r="AA10" s="39">
        <v>24.0</v>
      </c>
      <c r="AB10" s="39">
        <v>20.0</v>
      </c>
      <c r="AC10" s="39">
        <v>14.0</v>
      </c>
      <c r="AD10" s="39">
        <v>55.0</v>
      </c>
      <c r="AE10" s="39">
        <v>40.0</v>
      </c>
      <c r="AF10" s="39">
        <v>46.0</v>
      </c>
      <c r="AG10" s="39">
        <v>52.0</v>
      </c>
      <c r="AH10" s="39">
        <v>29.0</v>
      </c>
      <c r="AI10" s="39">
        <v>22.0</v>
      </c>
      <c r="AJ10" s="39">
        <v>71.0</v>
      </c>
      <c r="AK10" s="39">
        <v>40.0</v>
      </c>
      <c r="AL10" s="42"/>
      <c r="AM10" s="42"/>
      <c r="AN10" s="42"/>
      <c r="AO10" s="42"/>
      <c r="AP10" s="42"/>
      <c r="AQ10" s="42"/>
    </row>
    <row r="11">
      <c r="A11" s="39">
        <v>7.0</v>
      </c>
      <c r="B11" s="48" t="s">
        <v>648</v>
      </c>
      <c r="C11" s="48" t="s">
        <v>370</v>
      </c>
      <c r="D11" s="48">
        <v>900738.0</v>
      </c>
      <c r="E11" s="39">
        <v>16.0</v>
      </c>
      <c r="F11" s="39">
        <v>19.0</v>
      </c>
      <c r="G11" s="39">
        <v>19.0</v>
      </c>
      <c r="H11" s="39">
        <v>17.0</v>
      </c>
      <c r="I11" s="39">
        <v>16.0</v>
      </c>
      <c r="J11" s="39">
        <v>16.0</v>
      </c>
      <c r="K11" s="39">
        <v>19.0</v>
      </c>
      <c r="L11" s="39">
        <v>18.0</v>
      </c>
      <c r="M11" s="39"/>
      <c r="N11" s="39">
        <v>18.0</v>
      </c>
      <c r="O11" s="39">
        <v>18.0</v>
      </c>
      <c r="P11" s="39">
        <v>18.0</v>
      </c>
      <c r="Q11" s="39">
        <v>18.0</v>
      </c>
      <c r="R11" s="39">
        <v>19.0</v>
      </c>
      <c r="S11" s="39">
        <v>19.0</v>
      </c>
      <c r="T11" s="39">
        <v>17.0</v>
      </c>
      <c r="U11" s="39">
        <v>18.0</v>
      </c>
      <c r="V11" s="39">
        <v>20.0</v>
      </c>
      <c r="W11" s="39">
        <v>18.0</v>
      </c>
      <c r="X11" s="39">
        <v>15.0</v>
      </c>
      <c r="Y11" s="39">
        <v>24.0</v>
      </c>
      <c r="Z11" s="39">
        <v>24.0</v>
      </c>
      <c r="AA11" s="39">
        <v>24.0</v>
      </c>
      <c r="AB11" s="39">
        <v>20.0</v>
      </c>
      <c r="AC11" s="39">
        <v>14.0</v>
      </c>
      <c r="AD11" s="39">
        <v>70.0</v>
      </c>
      <c r="AE11" s="39">
        <v>40.0</v>
      </c>
      <c r="AF11" s="39">
        <v>42.0</v>
      </c>
      <c r="AG11" s="39">
        <v>53.0</v>
      </c>
      <c r="AH11" s="39">
        <v>35.0</v>
      </c>
      <c r="AI11" s="39">
        <v>25.0</v>
      </c>
      <c r="AJ11" s="39">
        <v>73.0</v>
      </c>
      <c r="AK11" s="39">
        <v>42.0</v>
      </c>
      <c r="AL11" s="42"/>
      <c r="AM11" s="42"/>
      <c r="AN11" s="42"/>
      <c r="AO11" s="42"/>
      <c r="AP11" s="42"/>
      <c r="AQ11" s="42"/>
    </row>
    <row r="12">
      <c r="A12" s="39">
        <v>8.0</v>
      </c>
      <c r="B12" s="48" t="s">
        <v>649</v>
      </c>
      <c r="C12" s="48" t="s">
        <v>650</v>
      </c>
      <c r="D12" s="48">
        <v>900774.0</v>
      </c>
      <c r="E12" s="39">
        <v>13.0</v>
      </c>
      <c r="F12" s="39">
        <v>11.0</v>
      </c>
      <c r="G12" s="39">
        <v>18.0</v>
      </c>
      <c r="H12" s="39">
        <v>15.0</v>
      </c>
      <c r="I12" s="39">
        <v>18.0</v>
      </c>
      <c r="J12" s="39">
        <v>17.0</v>
      </c>
      <c r="K12" s="39">
        <v>15.0</v>
      </c>
      <c r="L12" s="39">
        <v>16.0</v>
      </c>
      <c r="M12" s="39"/>
      <c r="N12" s="39">
        <v>19.0</v>
      </c>
      <c r="O12" s="39">
        <v>19.0</v>
      </c>
      <c r="P12" s="39">
        <v>19.0</v>
      </c>
      <c r="Q12" s="39">
        <v>19.0</v>
      </c>
      <c r="R12" s="39">
        <v>18.0</v>
      </c>
      <c r="S12" s="39">
        <v>19.0</v>
      </c>
      <c r="T12" s="39">
        <v>15.0</v>
      </c>
      <c r="U12" s="39">
        <v>19.0</v>
      </c>
      <c r="V12" s="39">
        <v>20.0</v>
      </c>
      <c r="W12" s="39">
        <v>18.0</v>
      </c>
      <c r="X12" s="39">
        <v>17.0</v>
      </c>
      <c r="Y12" s="39">
        <v>20.0</v>
      </c>
      <c r="Z12" s="39">
        <v>21.0</v>
      </c>
      <c r="AA12" s="39">
        <v>24.0</v>
      </c>
      <c r="AB12" s="39">
        <v>22.0</v>
      </c>
      <c r="AC12" s="39">
        <v>13.0</v>
      </c>
      <c r="AD12" s="39">
        <v>52.0</v>
      </c>
      <c r="AE12" s="39">
        <v>53.0</v>
      </c>
      <c r="AF12" s="41">
        <v>32.0</v>
      </c>
      <c r="AG12" s="41" t="s">
        <v>32</v>
      </c>
      <c r="AH12" s="39">
        <v>29.0</v>
      </c>
      <c r="AI12" s="39">
        <v>23.0</v>
      </c>
      <c r="AJ12" s="41" t="s">
        <v>32</v>
      </c>
      <c r="AK12" s="41" t="s">
        <v>32</v>
      </c>
      <c r="AL12" s="42"/>
      <c r="AM12" s="42"/>
      <c r="AN12" s="42"/>
      <c r="AO12" s="42"/>
      <c r="AP12" s="42"/>
      <c r="AQ12" s="42"/>
    </row>
    <row r="13">
      <c r="A13" s="39">
        <v>9.0</v>
      </c>
      <c r="B13" s="48" t="s">
        <v>651</v>
      </c>
      <c r="C13" s="48" t="s">
        <v>652</v>
      </c>
      <c r="D13" s="48">
        <v>900296.0</v>
      </c>
      <c r="E13" s="39">
        <v>14.0</v>
      </c>
      <c r="F13" s="39">
        <v>18.0</v>
      </c>
      <c r="G13" s="39">
        <v>20.0</v>
      </c>
      <c r="H13" s="39">
        <v>14.0</v>
      </c>
      <c r="I13" s="39">
        <v>17.0</v>
      </c>
      <c r="J13" s="39">
        <v>15.0</v>
      </c>
      <c r="K13" s="39">
        <v>18.0</v>
      </c>
      <c r="L13" s="39">
        <v>15.0</v>
      </c>
      <c r="M13" s="39"/>
      <c r="N13" s="39">
        <v>22.0</v>
      </c>
      <c r="O13" s="39">
        <v>19.0</v>
      </c>
      <c r="P13" s="39">
        <v>19.0</v>
      </c>
      <c r="Q13" s="39">
        <v>19.0</v>
      </c>
      <c r="R13" s="39">
        <v>19.0</v>
      </c>
      <c r="S13" s="39">
        <v>20.0</v>
      </c>
      <c r="T13" s="39">
        <v>19.0</v>
      </c>
      <c r="U13" s="39">
        <v>19.0</v>
      </c>
      <c r="V13" s="39">
        <v>24.0</v>
      </c>
      <c r="W13" s="39">
        <v>18.0</v>
      </c>
      <c r="X13" s="39">
        <v>18.0</v>
      </c>
      <c r="Y13" s="39">
        <v>23.0</v>
      </c>
      <c r="Z13" s="39">
        <v>24.0</v>
      </c>
      <c r="AA13" s="39">
        <v>24.0</v>
      </c>
      <c r="AB13" s="39">
        <v>22.0</v>
      </c>
      <c r="AC13" s="39">
        <v>18.0</v>
      </c>
      <c r="AD13" s="39">
        <v>63.0</v>
      </c>
      <c r="AE13" s="39">
        <v>62.0</v>
      </c>
      <c r="AF13" s="39">
        <v>59.0</v>
      </c>
      <c r="AG13" s="39">
        <v>67.0</v>
      </c>
      <c r="AH13" s="39">
        <v>44.0</v>
      </c>
      <c r="AI13" s="39">
        <v>41.0</v>
      </c>
      <c r="AJ13" s="39">
        <v>81.0</v>
      </c>
      <c r="AK13" s="39">
        <v>56.0</v>
      </c>
      <c r="AL13" s="42"/>
      <c r="AM13" s="42"/>
      <c r="AN13" s="42"/>
      <c r="AO13" s="42"/>
      <c r="AP13" s="42"/>
      <c r="AQ13" s="42"/>
    </row>
    <row r="14">
      <c r="A14" s="39">
        <v>10.0</v>
      </c>
      <c r="B14" s="48" t="s">
        <v>653</v>
      </c>
      <c r="C14" s="48" t="s">
        <v>654</v>
      </c>
      <c r="D14" s="48">
        <v>900501.0</v>
      </c>
      <c r="E14" s="39">
        <v>17.0</v>
      </c>
      <c r="F14" s="39">
        <v>18.0</v>
      </c>
      <c r="G14" s="39">
        <v>20.0</v>
      </c>
      <c r="H14" s="39">
        <v>20.0</v>
      </c>
      <c r="I14" s="39">
        <v>20.0</v>
      </c>
      <c r="J14" s="39">
        <v>19.0</v>
      </c>
      <c r="K14" s="39">
        <v>19.0</v>
      </c>
      <c r="L14" s="39">
        <v>18.0</v>
      </c>
      <c r="M14" s="39"/>
      <c r="N14" s="39">
        <v>20.0</v>
      </c>
      <c r="O14" s="39">
        <v>20.0</v>
      </c>
      <c r="P14" s="39">
        <v>19.0</v>
      </c>
      <c r="Q14" s="39">
        <v>19.0</v>
      </c>
      <c r="R14" s="39">
        <v>19.0</v>
      </c>
      <c r="S14" s="39">
        <v>19.0</v>
      </c>
      <c r="T14" s="39">
        <v>19.0</v>
      </c>
      <c r="U14" s="39">
        <v>19.0</v>
      </c>
      <c r="V14" s="39">
        <v>24.0</v>
      </c>
      <c r="W14" s="39">
        <v>23.0</v>
      </c>
      <c r="X14" s="39">
        <v>18.0</v>
      </c>
      <c r="Y14" s="39">
        <v>23.0</v>
      </c>
      <c r="Z14" s="39">
        <v>23.0</v>
      </c>
      <c r="AA14" s="39">
        <v>24.0</v>
      </c>
      <c r="AB14" s="39">
        <v>24.0</v>
      </c>
      <c r="AC14" s="39">
        <v>18.0</v>
      </c>
      <c r="AD14" s="39">
        <v>77.0</v>
      </c>
      <c r="AE14" s="39">
        <v>76.0</v>
      </c>
      <c r="AF14" s="39">
        <v>54.0</v>
      </c>
      <c r="AG14" s="39">
        <v>79.0</v>
      </c>
      <c r="AH14" s="39">
        <v>44.0</v>
      </c>
      <c r="AI14" s="39">
        <v>41.0</v>
      </c>
      <c r="AJ14" s="39">
        <v>82.0</v>
      </c>
      <c r="AK14" s="39">
        <v>65.0</v>
      </c>
      <c r="AL14" s="42"/>
      <c r="AM14" s="42"/>
      <c r="AN14" s="42"/>
      <c r="AO14" s="42"/>
      <c r="AP14" s="42"/>
      <c r="AQ14" s="42"/>
    </row>
    <row r="15">
      <c r="A15" s="39">
        <v>11.0</v>
      </c>
      <c r="B15" s="48" t="s">
        <v>655</v>
      </c>
      <c r="C15" s="48" t="s">
        <v>656</v>
      </c>
      <c r="D15" s="48">
        <v>900178.0</v>
      </c>
      <c r="E15" s="39">
        <v>11.0</v>
      </c>
      <c r="F15" s="39">
        <v>15.0</v>
      </c>
      <c r="G15" s="39">
        <v>19.0</v>
      </c>
      <c r="H15" s="39">
        <v>19.0</v>
      </c>
      <c r="I15" s="39">
        <v>17.0</v>
      </c>
      <c r="J15" s="39">
        <v>17.0</v>
      </c>
      <c r="K15" s="39">
        <v>15.0</v>
      </c>
      <c r="L15" s="39">
        <v>15.0</v>
      </c>
      <c r="M15" s="39"/>
      <c r="N15" s="41" t="s">
        <v>32</v>
      </c>
      <c r="O15" s="41" t="s">
        <v>32</v>
      </c>
      <c r="P15" s="41" t="s">
        <v>32</v>
      </c>
      <c r="Q15" s="249" t="s">
        <v>32</v>
      </c>
      <c r="R15" s="249" t="s">
        <v>32</v>
      </c>
      <c r="S15" s="41" t="s">
        <v>32</v>
      </c>
      <c r="T15" s="249" t="s">
        <v>32</v>
      </c>
      <c r="U15" s="249" t="s">
        <v>32</v>
      </c>
      <c r="V15" s="123">
        <v>13.0</v>
      </c>
      <c r="W15" s="40">
        <v>15.0</v>
      </c>
      <c r="X15" s="40">
        <v>15.0</v>
      </c>
      <c r="Y15" s="40">
        <v>24.0</v>
      </c>
      <c r="Z15" s="40">
        <v>24.0</v>
      </c>
      <c r="AA15" s="39">
        <v>21.0</v>
      </c>
      <c r="AB15" s="39">
        <v>22.0</v>
      </c>
      <c r="AC15" s="39">
        <v>15.0</v>
      </c>
      <c r="AD15" s="39">
        <v>54.0</v>
      </c>
      <c r="AE15" s="39">
        <v>49.0</v>
      </c>
      <c r="AF15" s="39">
        <v>40.0</v>
      </c>
      <c r="AG15" s="39">
        <v>45.0</v>
      </c>
      <c r="AH15" s="39">
        <v>32.0</v>
      </c>
      <c r="AI15" s="39">
        <v>40.0</v>
      </c>
      <c r="AJ15" s="39">
        <v>63.0</v>
      </c>
      <c r="AK15" s="39">
        <v>58.0</v>
      </c>
      <c r="AL15" s="42"/>
      <c r="AM15" s="42"/>
      <c r="AN15" s="42"/>
      <c r="AO15" s="42"/>
      <c r="AP15" s="42"/>
      <c r="AQ15" s="42"/>
    </row>
    <row r="16">
      <c r="A16" s="39">
        <v>12.0</v>
      </c>
      <c r="B16" s="48" t="s">
        <v>388</v>
      </c>
      <c r="C16" s="48" t="s">
        <v>657</v>
      </c>
      <c r="D16" s="85">
        <v>900187.0</v>
      </c>
      <c r="E16" s="39">
        <v>16.0</v>
      </c>
      <c r="F16" s="39">
        <v>16.0</v>
      </c>
      <c r="G16" s="39">
        <v>19.0</v>
      </c>
      <c r="H16" s="39">
        <v>14.0</v>
      </c>
      <c r="I16" s="39">
        <v>18.0</v>
      </c>
      <c r="J16" s="39">
        <v>18.0</v>
      </c>
      <c r="K16" s="39">
        <v>18.0</v>
      </c>
      <c r="L16" s="39">
        <v>18.0</v>
      </c>
      <c r="M16" s="39"/>
      <c r="N16" s="39">
        <v>20.0</v>
      </c>
      <c r="O16" s="39">
        <v>18.0</v>
      </c>
      <c r="P16" s="39">
        <v>18.0</v>
      </c>
      <c r="Q16" s="39">
        <v>18.0</v>
      </c>
      <c r="R16" s="39">
        <v>19.0</v>
      </c>
      <c r="S16" s="39">
        <v>19.0</v>
      </c>
      <c r="T16" s="39">
        <v>20.0</v>
      </c>
      <c r="U16" s="39">
        <v>18.0</v>
      </c>
      <c r="V16" s="39">
        <v>17.0</v>
      </c>
      <c r="W16" s="39">
        <v>16.0</v>
      </c>
      <c r="X16" s="39">
        <v>18.0</v>
      </c>
      <c r="Y16" s="39">
        <v>24.0</v>
      </c>
      <c r="Z16" s="39">
        <v>20.0</v>
      </c>
      <c r="AA16" s="39">
        <v>24.0</v>
      </c>
      <c r="AB16" s="39">
        <v>22.0</v>
      </c>
      <c r="AC16" s="39">
        <v>14.0</v>
      </c>
      <c r="AD16" s="39">
        <v>48.0</v>
      </c>
      <c r="AE16" s="39">
        <v>55.0</v>
      </c>
      <c r="AF16" s="39">
        <v>44.0</v>
      </c>
      <c r="AG16" s="39">
        <v>42.0</v>
      </c>
      <c r="AH16" s="39">
        <v>38.0</v>
      </c>
      <c r="AI16" s="39">
        <v>24.0</v>
      </c>
      <c r="AJ16" s="39">
        <v>79.0</v>
      </c>
      <c r="AK16" s="39">
        <v>47.0</v>
      </c>
      <c r="AL16" s="42"/>
      <c r="AM16" s="42"/>
      <c r="AN16" s="42"/>
      <c r="AO16" s="42"/>
      <c r="AP16" s="42"/>
      <c r="AQ16" s="42"/>
    </row>
    <row r="17">
      <c r="A17" s="39">
        <v>13.0</v>
      </c>
      <c r="B17" s="34" t="s">
        <v>658</v>
      </c>
      <c r="C17" s="34" t="s">
        <v>659</v>
      </c>
      <c r="D17" s="34">
        <v>900879.0</v>
      </c>
      <c r="E17" s="39">
        <v>14.0</v>
      </c>
      <c r="F17" s="39">
        <v>18.0</v>
      </c>
      <c r="G17" s="39">
        <v>19.0</v>
      </c>
      <c r="H17" s="39">
        <v>17.0</v>
      </c>
      <c r="I17" s="39">
        <v>17.0</v>
      </c>
      <c r="J17" s="39">
        <v>17.0</v>
      </c>
      <c r="K17" s="39">
        <v>16.0</v>
      </c>
      <c r="L17" s="39">
        <v>18.0</v>
      </c>
      <c r="M17" s="39"/>
      <c r="N17" s="39">
        <v>19.0</v>
      </c>
      <c r="O17" s="39">
        <v>20.0</v>
      </c>
      <c r="P17" s="39">
        <v>20.0</v>
      </c>
      <c r="Q17" s="39">
        <v>19.0</v>
      </c>
      <c r="R17" s="39">
        <v>18.0</v>
      </c>
      <c r="S17" s="39">
        <v>20.0</v>
      </c>
      <c r="T17" s="39">
        <v>18.0</v>
      </c>
      <c r="U17" s="39">
        <v>20.0</v>
      </c>
      <c r="V17" s="39">
        <v>22.0</v>
      </c>
      <c r="W17" s="39">
        <v>24.0</v>
      </c>
      <c r="X17" s="39">
        <v>16.0</v>
      </c>
      <c r="Y17" s="39">
        <v>24.0</v>
      </c>
      <c r="Z17" s="39">
        <v>24.0</v>
      </c>
      <c r="AA17" s="39">
        <v>24.0</v>
      </c>
      <c r="AB17" s="39">
        <v>23.0</v>
      </c>
      <c r="AC17" s="39">
        <v>14.0</v>
      </c>
      <c r="AD17" s="39">
        <v>54.0</v>
      </c>
      <c r="AE17" s="39">
        <v>62.0</v>
      </c>
      <c r="AF17" s="39">
        <v>42.0</v>
      </c>
      <c r="AG17" s="39">
        <v>40.0</v>
      </c>
      <c r="AH17" s="39">
        <v>40.0</v>
      </c>
      <c r="AI17" s="39">
        <v>37.0</v>
      </c>
      <c r="AJ17" s="39">
        <v>71.0</v>
      </c>
      <c r="AK17" s="39">
        <v>59.0</v>
      </c>
      <c r="AL17" s="42"/>
      <c r="AM17" s="42"/>
      <c r="AN17" s="42"/>
      <c r="AO17" s="42"/>
      <c r="AP17" s="42"/>
      <c r="AQ17" s="42"/>
    </row>
    <row r="18">
      <c r="A18" s="39">
        <v>14.0</v>
      </c>
      <c r="B18" s="48" t="s">
        <v>660</v>
      </c>
      <c r="C18" s="48" t="s">
        <v>661</v>
      </c>
      <c r="D18" s="48">
        <v>90059.0</v>
      </c>
      <c r="E18" s="39">
        <v>12.0</v>
      </c>
      <c r="F18" s="39">
        <v>17.0</v>
      </c>
      <c r="G18" s="39">
        <v>17.0</v>
      </c>
      <c r="H18" s="39">
        <v>18.0</v>
      </c>
      <c r="I18" s="39">
        <v>18.0</v>
      </c>
      <c r="J18" s="39">
        <v>15.0</v>
      </c>
      <c r="K18" s="39">
        <v>17.0</v>
      </c>
      <c r="L18" s="39">
        <v>16.0</v>
      </c>
      <c r="M18" s="39"/>
      <c r="N18" s="39">
        <v>17.0</v>
      </c>
      <c r="O18" s="39">
        <v>18.0</v>
      </c>
      <c r="P18" s="39">
        <v>16.0</v>
      </c>
      <c r="Q18" s="39">
        <v>17.0</v>
      </c>
      <c r="R18" s="39">
        <v>18.0</v>
      </c>
      <c r="S18" s="39">
        <v>16.0</v>
      </c>
      <c r="T18" s="39">
        <v>18.0</v>
      </c>
      <c r="U18" s="39">
        <v>11.0</v>
      </c>
      <c r="V18" s="39">
        <v>19.0</v>
      </c>
      <c r="W18" s="39">
        <v>14.0</v>
      </c>
      <c r="X18" s="39">
        <v>21.0</v>
      </c>
      <c r="Y18" s="39">
        <v>24.0</v>
      </c>
      <c r="Z18" s="39">
        <v>23.0</v>
      </c>
      <c r="AA18" s="39">
        <v>24.0</v>
      </c>
      <c r="AB18" s="39">
        <v>22.0</v>
      </c>
      <c r="AC18" s="39">
        <v>13.0</v>
      </c>
      <c r="AD18" s="39">
        <v>43.0</v>
      </c>
      <c r="AE18" s="39">
        <v>51.0</v>
      </c>
      <c r="AF18" s="39">
        <v>41.0</v>
      </c>
      <c r="AG18" s="39">
        <v>51.0</v>
      </c>
      <c r="AH18" s="39">
        <v>35.0</v>
      </c>
      <c r="AI18" s="39">
        <v>30.0</v>
      </c>
      <c r="AJ18" s="39">
        <v>67.0</v>
      </c>
      <c r="AK18" s="39">
        <v>59.0</v>
      </c>
      <c r="AL18" s="42"/>
      <c r="AM18" s="42"/>
      <c r="AN18" s="42"/>
      <c r="AO18" s="42"/>
      <c r="AP18" s="42"/>
      <c r="AQ18" s="42"/>
    </row>
    <row r="19">
      <c r="A19" s="39">
        <v>15.0</v>
      </c>
      <c r="B19" s="48" t="s">
        <v>662</v>
      </c>
      <c r="C19" s="48" t="s">
        <v>430</v>
      </c>
      <c r="D19" s="48">
        <v>900296.0</v>
      </c>
      <c r="E19" s="39">
        <v>17.0</v>
      </c>
      <c r="F19" s="39">
        <v>13.0</v>
      </c>
      <c r="G19" s="39">
        <v>18.0</v>
      </c>
      <c r="H19" s="39">
        <v>19.0</v>
      </c>
      <c r="I19" s="39">
        <v>15.0</v>
      </c>
      <c r="J19" s="39">
        <v>16.0</v>
      </c>
      <c r="K19" s="39">
        <v>20.0</v>
      </c>
      <c r="L19" s="39">
        <v>18.0</v>
      </c>
      <c r="M19" s="39"/>
      <c r="N19" s="39">
        <v>20.0</v>
      </c>
      <c r="O19" s="39">
        <v>15.0</v>
      </c>
      <c r="P19" s="39">
        <v>19.0</v>
      </c>
      <c r="Q19" s="39">
        <v>19.0</v>
      </c>
      <c r="R19" s="39">
        <v>19.0</v>
      </c>
      <c r="S19" s="39">
        <v>17.0</v>
      </c>
      <c r="T19" s="39">
        <v>15.0</v>
      </c>
      <c r="U19" s="39">
        <v>17.0</v>
      </c>
      <c r="V19" s="39">
        <v>15.0</v>
      </c>
      <c r="W19" s="39">
        <v>23.0</v>
      </c>
      <c r="X19" s="39">
        <v>20.0</v>
      </c>
      <c r="Y19" s="39">
        <v>23.0</v>
      </c>
      <c r="Z19" s="39">
        <v>24.0</v>
      </c>
      <c r="AA19" s="41" t="s">
        <v>32</v>
      </c>
      <c r="AB19" s="41" t="s">
        <v>32</v>
      </c>
      <c r="AC19" s="39">
        <v>14.0</v>
      </c>
      <c r="AD19" s="39">
        <v>76.0</v>
      </c>
      <c r="AE19" s="39">
        <v>68.0</v>
      </c>
      <c r="AF19" s="39">
        <v>49.0</v>
      </c>
      <c r="AG19" s="39">
        <v>48.0</v>
      </c>
      <c r="AH19" s="39">
        <v>35.0</v>
      </c>
      <c r="AI19" s="39">
        <v>31.0</v>
      </c>
      <c r="AJ19" s="39">
        <v>75.0</v>
      </c>
      <c r="AK19" s="39">
        <v>82.0</v>
      </c>
      <c r="AL19" s="42"/>
      <c r="AM19" s="42"/>
      <c r="AN19" s="42"/>
      <c r="AO19" s="42"/>
      <c r="AP19" s="42"/>
      <c r="AQ19" s="42"/>
    </row>
    <row r="20">
      <c r="A20" s="39">
        <v>16.0</v>
      </c>
      <c r="B20" s="48" t="s">
        <v>663</v>
      </c>
      <c r="C20" s="48" t="s">
        <v>664</v>
      </c>
      <c r="D20" s="85">
        <v>901140.0</v>
      </c>
      <c r="E20" s="39">
        <v>13.0</v>
      </c>
      <c r="F20" s="39">
        <v>13.0</v>
      </c>
      <c r="G20" s="39">
        <v>15.0</v>
      </c>
      <c r="H20" s="39">
        <v>16.0</v>
      </c>
      <c r="I20" s="39">
        <v>19.0</v>
      </c>
      <c r="J20" s="39">
        <v>14.0</v>
      </c>
      <c r="K20" s="39">
        <v>14.0</v>
      </c>
      <c r="L20" s="39">
        <v>14.0</v>
      </c>
      <c r="M20" s="39"/>
      <c r="N20" s="39">
        <v>18.0</v>
      </c>
      <c r="O20" s="39">
        <v>20.0</v>
      </c>
      <c r="P20" s="39">
        <v>18.0</v>
      </c>
      <c r="Q20" s="39">
        <v>18.0</v>
      </c>
      <c r="R20" s="39">
        <v>17.0</v>
      </c>
      <c r="S20" s="39">
        <v>19.0</v>
      </c>
      <c r="T20" s="39">
        <v>16.0</v>
      </c>
      <c r="U20" s="39">
        <v>18.0</v>
      </c>
      <c r="V20" s="39">
        <v>15.0</v>
      </c>
      <c r="W20" s="39">
        <v>24.0</v>
      </c>
      <c r="X20" s="39">
        <v>20.0</v>
      </c>
      <c r="Y20" s="39">
        <v>18.0</v>
      </c>
      <c r="Z20" s="39">
        <v>24.0</v>
      </c>
      <c r="AA20" s="39">
        <v>24.0</v>
      </c>
      <c r="AB20" s="39">
        <v>20.0</v>
      </c>
      <c r="AC20" s="39">
        <v>14.0</v>
      </c>
      <c r="AD20" s="39">
        <v>41.0</v>
      </c>
      <c r="AE20" s="39">
        <v>50.0</v>
      </c>
      <c r="AF20" s="41">
        <v>17.0</v>
      </c>
      <c r="AG20" s="39">
        <v>52.0</v>
      </c>
      <c r="AH20" s="39">
        <v>39.0</v>
      </c>
      <c r="AI20" s="39">
        <v>29.0</v>
      </c>
      <c r="AJ20" s="39">
        <v>56.0</v>
      </c>
      <c r="AK20" s="39">
        <v>42.0</v>
      </c>
      <c r="AL20" s="42"/>
      <c r="AM20" s="42"/>
      <c r="AN20" s="42"/>
      <c r="AO20" s="42"/>
      <c r="AP20" s="42"/>
      <c r="AQ20" s="42"/>
    </row>
    <row r="21">
      <c r="A21" s="39">
        <v>17.0</v>
      </c>
      <c r="B21" s="48" t="s">
        <v>665</v>
      </c>
      <c r="C21" s="48" t="s">
        <v>666</v>
      </c>
      <c r="D21" s="85">
        <v>900251.0</v>
      </c>
      <c r="E21" s="39"/>
      <c r="F21" s="41" t="s">
        <v>32</v>
      </c>
      <c r="G21" s="41"/>
      <c r="H21" s="41" t="s">
        <v>32</v>
      </c>
      <c r="I21" s="39">
        <v>19.0</v>
      </c>
      <c r="J21" s="41" t="s">
        <v>32</v>
      </c>
      <c r="K21" s="41" t="s">
        <v>32</v>
      </c>
      <c r="L21" s="39">
        <v>19.0</v>
      </c>
      <c r="M21" s="39"/>
      <c r="N21" s="40">
        <v>19.0</v>
      </c>
      <c r="O21" s="41" t="s">
        <v>32</v>
      </c>
      <c r="P21" s="41" t="s">
        <v>32</v>
      </c>
      <c r="Q21" s="41" t="s">
        <v>32</v>
      </c>
      <c r="R21" s="39">
        <v>19.0</v>
      </c>
      <c r="S21" s="41" t="s">
        <v>32</v>
      </c>
      <c r="T21" s="41" t="s">
        <v>32</v>
      </c>
      <c r="U21" s="39">
        <v>19.0</v>
      </c>
      <c r="V21" s="39">
        <v>21.0</v>
      </c>
      <c r="W21" s="39">
        <v>14.0</v>
      </c>
      <c r="X21" s="39">
        <v>11.0</v>
      </c>
      <c r="Y21" s="39">
        <v>23.0</v>
      </c>
      <c r="Z21" s="39">
        <v>24.0</v>
      </c>
      <c r="AA21" s="39">
        <v>24.0</v>
      </c>
      <c r="AB21" s="39">
        <v>22.0</v>
      </c>
      <c r="AC21" s="39">
        <v>13.0</v>
      </c>
      <c r="AD21" s="39">
        <v>72.0</v>
      </c>
      <c r="AE21" s="39">
        <v>56.0</v>
      </c>
      <c r="AF21" s="39">
        <v>49.0</v>
      </c>
      <c r="AG21" s="39">
        <v>54.0</v>
      </c>
      <c r="AH21" s="39">
        <v>35.0</v>
      </c>
      <c r="AI21" s="39">
        <v>33.0</v>
      </c>
      <c r="AJ21" s="39">
        <v>80.0</v>
      </c>
      <c r="AK21" s="39">
        <v>60.0</v>
      </c>
      <c r="AL21" s="42"/>
      <c r="AM21" s="42"/>
      <c r="AN21" s="42"/>
      <c r="AO21" s="42"/>
      <c r="AP21" s="42"/>
      <c r="AQ21" s="42"/>
    </row>
    <row r="22">
      <c r="A22" s="39">
        <v>18.0</v>
      </c>
      <c r="B22" s="250" t="s">
        <v>667</v>
      </c>
      <c r="C22" s="39" t="s">
        <v>377</v>
      </c>
      <c r="D22" s="34">
        <v>901157.0</v>
      </c>
      <c r="E22" s="42"/>
      <c r="F22" s="80"/>
      <c r="G22" s="80"/>
      <c r="H22" s="80"/>
      <c r="I22" s="80"/>
      <c r="J22" s="39"/>
      <c r="K22" s="39"/>
      <c r="L22" s="39"/>
      <c r="M22" s="39"/>
      <c r="N22" s="39">
        <v>10.0</v>
      </c>
      <c r="O22" s="39">
        <v>15.0</v>
      </c>
      <c r="P22" s="39">
        <v>15.0</v>
      </c>
      <c r="Q22" s="39">
        <v>15.0</v>
      </c>
      <c r="R22" s="39">
        <v>14.0</v>
      </c>
      <c r="S22" s="39"/>
      <c r="T22" s="39">
        <v>18.0</v>
      </c>
      <c r="U22" s="41">
        <v>7.0</v>
      </c>
      <c r="V22" s="39">
        <v>15.0</v>
      </c>
      <c r="W22" s="41">
        <v>6.0</v>
      </c>
      <c r="X22" s="39">
        <v>18.0</v>
      </c>
      <c r="Y22" s="39">
        <v>20.0</v>
      </c>
      <c r="Z22" s="39">
        <v>23.0</v>
      </c>
      <c r="AA22" s="39">
        <v>23.0</v>
      </c>
      <c r="AB22" s="39">
        <v>19.0</v>
      </c>
      <c r="AC22" s="41">
        <v>5.0</v>
      </c>
      <c r="AD22" s="41">
        <v>38.0</v>
      </c>
      <c r="AE22" s="39">
        <v>43.0</v>
      </c>
      <c r="AF22" s="39">
        <v>44.0</v>
      </c>
      <c r="AG22" s="39">
        <v>28.0</v>
      </c>
      <c r="AH22" s="39">
        <v>22.0</v>
      </c>
      <c r="AI22" s="39">
        <v>20.0</v>
      </c>
      <c r="AJ22" s="39">
        <v>46.0</v>
      </c>
      <c r="AK22" s="39">
        <v>40.0</v>
      </c>
      <c r="AL22" s="42"/>
      <c r="AM22" s="42"/>
      <c r="AN22" s="42"/>
      <c r="AO22" s="42"/>
      <c r="AP22" s="42"/>
      <c r="AQ22" s="42"/>
    </row>
    <row r="23">
      <c r="A23" s="39">
        <v>19.0</v>
      </c>
      <c r="B23" s="250" t="s">
        <v>668</v>
      </c>
      <c r="C23" s="39" t="s">
        <v>669</v>
      </c>
      <c r="D23" s="34">
        <v>1000996.0</v>
      </c>
      <c r="E23" s="42"/>
      <c r="F23" s="80"/>
      <c r="G23" s="80"/>
      <c r="H23" s="80"/>
      <c r="I23" s="80"/>
      <c r="J23" s="39"/>
      <c r="K23" s="39"/>
      <c r="L23" s="39"/>
      <c r="M23" s="39"/>
      <c r="N23" s="39">
        <v>18.0</v>
      </c>
      <c r="O23" s="41" t="s">
        <v>32</v>
      </c>
      <c r="P23" s="39">
        <v>19.0</v>
      </c>
      <c r="Q23" s="41" t="s">
        <v>32</v>
      </c>
      <c r="R23" s="39">
        <v>18.0</v>
      </c>
      <c r="S23" s="41" t="s">
        <v>32</v>
      </c>
      <c r="T23" s="41" t="s">
        <v>32</v>
      </c>
      <c r="U23" s="41" t="s">
        <v>32</v>
      </c>
      <c r="V23" s="39">
        <v>20.0</v>
      </c>
      <c r="W23" s="39">
        <v>20.0</v>
      </c>
      <c r="X23" s="39">
        <v>19.0</v>
      </c>
      <c r="Y23" s="39">
        <v>24.0</v>
      </c>
      <c r="Z23" s="39">
        <v>24.0</v>
      </c>
      <c r="AA23" s="39">
        <v>24.0</v>
      </c>
      <c r="AB23" s="39">
        <v>23.0</v>
      </c>
      <c r="AC23" s="39">
        <v>14.0</v>
      </c>
      <c r="AD23" s="39">
        <v>68.0</v>
      </c>
      <c r="AE23" s="39">
        <v>43.0</v>
      </c>
      <c r="AF23" s="39">
        <v>44.0</v>
      </c>
      <c r="AG23" s="39">
        <v>66.0</v>
      </c>
      <c r="AH23" s="39">
        <v>49.0</v>
      </c>
      <c r="AI23" s="39">
        <v>36.0</v>
      </c>
      <c r="AJ23" s="39">
        <v>77.0</v>
      </c>
      <c r="AK23" s="39">
        <v>42.0</v>
      </c>
      <c r="AL23" s="42"/>
      <c r="AM23" s="42"/>
      <c r="AN23" s="42"/>
      <c r="AO23" s="42"/>
      <c r="AP23" s="42"/>
      <c r="AQ23" s="42"/>
    </row>
    <row r="24">
      <c r="A24" s="39">
        <v>20.0</v>
      </c>
      <c r="B24" s="250" t="s">
        <v>670</v>
      </c>
      <c r="C24" s="39" t="s">
        <v>671</v>
      </c>
      <c r="D24" s="34">
        <v>900645.0</v>
      </c>
      <c r="E24" s="42"/>
      <c r="F24" s="80"/>
      <c r="G24" s="80"/>
      <c r="H24" s="80"/>
      <c r="I24" s="80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>
        <v>23.0</v>
      </c>
      <c r="W24" s="39">
        <v>12.0</v>
      </c>
      <c r="X24" s="41">
        <v>10.0</v>
      </c>
      <c r="Y24" s="39">
        <v>15.0</v>
      </c>
      <c r="Z24" s="39">
        <v>24.0</v>
      </c>
      <c r="AA24" s="39">
        <v>24.0</v>
      </c>
      <c r="AB24" s="39">
        <v>22.0</v>
      </c>
      <c r="AC24" s="39">
        <v>13.0</v>
      </c>
      <c r="AD24" s="39">
        <v>41.0</v>
      </c>
      <c r="AE24" s="39">
        <v>43.0</v>
      </c>
      <c r="AF24" s="39">
        <v>35.0</v>
      </c>
      <c r="AG24" s="39">
        <v>40.0</v>
      </c>
      <c r="AH24" s="39">
        <v>39.0</v>
      </c>
      <c r="AI24" s="39">
        <v>32.0</v>
      </c>
      <c r="AJ24" s="39">
        <v>66.0</v>
      </c>
      <c r="AK24" s="39">
        <v>40.0</v>
      </c>
      <c r="AL24" s="42"/>
      <c r="AM24" s="42"/>
      <c r="AN24" s="42"/>
      <c r="AO24" s="42"/>
      <c r="AP24" s="42"/>
      <c r="AQ24" s="42"/>
    </row>
    <row r="25">
      <c r="A25" s="39"/>
      <c r="B25" s="39"/>
      <c r="C25" s="39"/>
      <c r="D25" s="111"/>
      <c r="E25" s="42"/>
      <c r="F25" s="42"/>
      <c r="G25" s="42"/>
      <c r="H25" s="42"/>
      <c r="I25" s="42"/>
      <c r="J25" s="42"/>
      <c r="K25" s="42"/>
      <c r="L25" s="42"/>
      <c r="M25" s="42"/>
      <c r="N25" s="80"/>
      <c r="O25" s="80"/>
      <c r="P25" s="80"/>
      <c r="Q25" s="80"/>
      <c r="R25" s="80"/>
      <c r="S25" s="80"/>
      <c r="T25" s="80"/>
      <c r="U25" s="80"/>
      <c r="V25" s="39"/>
      <c r="W25" s="39"/>
      <c r="X25" s="39"/>
      <c r="Y25" s="39"/>
      <c r="Z25" s="42"/>
      <c r="AA25" s="42"/>
      <c r="AB25" s="42"/>
      <c r="AC25" s="42"/>
      <c r="AD25" s="80"/>
      <c r="AE25" s="80"/>
      <c r="AF25" s="80"/>
      <c r="AG25" s="80"/>
      <c r="AH25" s="80"/>
      <c r="AI25" s="80"/>
      <c r="AJ25" s="80"/>
      <c r="AK25" s="80"/>
      <c r="AL25" s="42"/>
      <c r="AM25" s="42"/>
      <c r="AN25" s="42"/>
      <c r="AO25" s="42"/>
      <c r="AP25" s="42"/>
      <c r="AQ25" s="42"/>
    </row>
    <row r="26">
      <c r="A26" s="39"/>
      <c r="B26" s="92" t="s">
        <v>406</v>
      </c>
      <c r="C26" s="39"/>
      <c r="D26" s="92" t="s">
        <v>406</v>
      </c>
      <c r="E26" s="58">
        <f t="shared" ref="E26:K26" si="1">SUM(E5:E21)</f>
        <v>228</v>
      </c>
      <c r="F26" s="58">
        <f t="shared" si="1"/>
        <v>256</v>
      </c>
      <c r="G26" s="58">
        <f t="shared" si="1"/>
        <v>298</v>
      </c>
      <c r="H26" s="58">
        <f t="shared" si="1"/>
        <v>272</v>
      </c>
      <c r="I26" s="58">
        <f t="shared" si="1"/>
        <v>299</v>
      </c>
      <c r="J26" s="58">
        <f t="shared" si="1"/>
        <v>261</v>
      </c>
      <c r="K26" s="58">
        <f t="shared" si="1"/>
        <v>277</v>
      </c>
      <c r="L26" s="58">
        <f>SUM(L5:L23)</f>
        <v>289</v>
      </c>
      <c r="M26" s="58"/>
      <c r="N26" s="63">
        <f t="shared" ref="N26:U26" si="2">SUM(N5:N23)</f>
        <v>329</v>
      </c>
      <c r="O26" s="63">
        <f t="shared" si="2"/>
        <v>286</v>
      </c>
      <c r="P26" s="63">
        <f t="shared" si="2"/>
        <v>315</v>
      </c>
      <c r="Q26" s="63">
        <f t="shared" si="2"/>
        <v>287</v>
      </c>
      <c r="R26" s="63">
        <f t="shared" si="2"/>
        <v>329</v>
      </c>
      <c r="S26" s="63">
        <f t="shared" si="2"/>
        <v>278</v>
      </c>
      <c r="T26" s="63">
        <f t="shared" si="2"/>
        <v>280</v>
      </c>
      <c r="U26" s="63">
        <f t="shared" si="2"/>
        <v>295</v>
      </c>
      <c r="V26" s="62">
        <f t="shared" ref="V26:AK26" si="3">sum(V5:V24)</f>
        <v>372</v>
      </c>
      <c r="W26" s="62">
        <f t="shared" si="3"/>
        <v>340</v>
      </c>
      <c r="X26" s="62">
        <f t="shared" si="3"/>
        <v>318</v>
      </c>
      <c r="Y26" s="62">
        <f t="shared" si="3"/>
        <v>425</v>
      </c>
      <c r="Z26" s="62">
        <f t="shared" si="3"/>
        <v>437</v>
      </c>
      <c r="AA26" s="62">
        <f t="shared" si="3"/>
        <v>428</v>
      </c>
      <c r="AB26" s="62">
        <f t="shared" si="3"/>
        <v>392</v>
      </c>
      <c r="AC26" s="62">
        <f t="shared" si="3"/>
        <v>262</v>
      </c>
      <c r="AD26" s="165">
        <f t="shared" si="3"/>
        <v>1116</v>
      </c>
      <c r="AE26" s="165">
        <f t="shared" si="3"/>
        <v>1045</v>
      </c>
      <c r="AF26" s="165">
        <f t="shared" si="3"/>
        <v>874</v>
      </c>
      <c r="AG26" s="165">
        <f t="shared" si="3"/>
        <v>1002</v>
      </c>
      <c r="AH26" s="165">
        <f t="shared" si="3"/>
        <v>715</v>
      </c>
      <c r="AI26" s="165">
        <f t="shared" si="3"/>
        <v>591</v>
      </c>
      <c r="AJ26" s="165">
        <f t="shared" si="3"/>
        <v>1325</v>
      </c>
      <c r="AK26" s="165">
        <f t="shared" si="3"/>
        <v>963</v>
      </c>
      <c r="AL26" s="58"/>
      <c r="AM26" s="58"/>
      <c r="AN26" s="58"/>
      <c r="AO26" s="58"/>
      <c r="AP26" s="58"/>
      <c r="AQ26" s="58"/>
    </row>
    <row r="27">
      <c r="A27" s="39"/>
      <c r="B27" s="92" t="s">
        <v>86</v>
      </c>
      <c r="C27" s="39"/>
      <c r="D27" s="92" t="s">
        <v>86</v>
      </c>
      <c r="E27" s="88">
        <f t="shared" ref="E27:L27" si="4">E26/E31</f>
        <v>12</v>
      </c>
      <c r="F27" s="88">
        <f t="shared" si="4"/>
        <v>13.47368421</v>
      </c>
      <c r="G27" s="88">
        <f t="shared" si="4"/>
        <v>15.68421053</v>
      </c>
      <c r="H27" s="88">
        <f t="shared" si="4"/>
        <v>14.31578947</v>
      </c>
      <c r="I27" s="88">
        <f t="shared" si="4"/>
        <v>15.73684211</v>
      </c>
      <c r="J27" s="88">
        <f t="shared" si="4"/>
        <v>13.73684211</v>
      </c>
      <c r="K27" s="88">
        <f t="shared" si="4"/>
        <v>14.57894737</v>
      </c>
      <c r="L27" s="88">
        <f t="shared" si="4"/>
        <v>15.21052632</v>
      </c>
      <c r="M27" s="88"/>
      <c r="N27" s="91">
        <f t="shared" ref="N27:AK27" si="5">N26/N31</f>
        <v>18.27777778</v>
      </c>
      <c r="O27" s="91">
        <f t="shared" si="5"/>
        <v>17.875</v>
      </c>
      <c r="P27" s="91">
        <f t="shared" si="5"/>
        <v>18.52941176</v>
      </c>
      <c r="Q27" s="91">
        <f t="shared" si="5"/>
        <v>17.9375</v>
      </c>
      <c r="R27" s="91">
        <f t="shared" si="5"/>
        <v>18.27777778</v>
      </c>
      <c r="S27" s="91">
        <f t="shared" si="5"/>
        <v>17.375</v>
      </c>
      <c r="T27" s="91">
        <f t="shared" si="5"/>
        <v>17.5</v>
      </c>
      <c r="U27" s="91">
        <f t="shared" si="5"/>
        <v>17.35294118</v>
      </c>
      <c r="V27" s="89">
        <f t="shared" si="5"/>
        <v>19.57894737</v>
      </c>
      <c r="W27" s="89">
        <f t="shared" si="5"/>
        <v>17.89473684</v>
      </c>
      <c r="X27" s="89">
        <f t="shared" si="5"/>
        <v>16.73684211</v>
      </c>
      <c r="Y27" s="89">
        <f t="shared" si="5"/>
        <v>22.36842105</v>
      </c>
      <c r="Z27" s="89">
        <f t="shared" si="5"/>
        <v>23</v>
      </c>
      <c r="AA27" s="89">
        <f t="shared" si="5"/>
        <v>23.77777778</v>
      </c>
      <c r="AB27" s="89">
        <f t="shared" si="5"/>
        <v>21.77777778</v>
      </c>
      <c r="AC27" s="89">
        <f t="shared" si="5"/>
        <v>13.78947368</v>
      </c>
      <c r="AD27" s="251">
        <f t="shared" si="5"/>
        <v>55.8</v>
      </c>
      <c r="AE27" s="251">
        <f t="shared" si="5"/>
        <v>52.25</v>
      </c>
      <c r="AF27" s="251">
        <f t="shared" si="5"/>
        <v>43.7</v>
      </c>
      <c r="AG27" s="251">
        <f t="shared" si="5"/>
        <v>52.73684211</v>
      </c>
      <c r="AH27" s="251">
        <f t="shared" si="5"/>
        <v>35.75</v>
      </c>
      <c r="AI27" s="251">
        <f t="shared" si="5"/>
        <v>29.55</v>
      </c>
      <c r="AJ27" s="251">
        <f t="shared" si="5"/>
        <v>69.73684211</v>
      </c>
      <c r="AK27" s="251">
        <f t="shared" si="5"/>
        <v>50.68421053</v>
      </c>
      <c r="AL27" s="58"/>
      <c r="AM27" s="58"/>
      <c r="AN27" s="58"/>
      <c r="AO27" s="58"/>
      <c r="AP27" s="58"/>
      <c r="AQ27" s="58"/>
    </row>
    <row r="28">
      <c r="A28" s="39"/>
      <c r="B28" s="92" t="s">
        <v>672</v>
      </c>
      <c r="C28" s="39"/>
      <c r="D28" s="92" t="s">
        <v>672</v>
      </c>
      <c r="E28" s="92">
        <v>22.0</v>
      </c>
      <c r="F28" s="63"/>
      <c r="G28" s="63"/>
      <c r="H28" s="63"/>
      <c r="I28" s="63"/>
      <c r="J28" s="62"/>
      <c r="K28" s="62"/>
      <c r="L28" s="62"/>
      <c r="M28" s="62"/>
      <c r="N28" s="62">
        <v>19.0</v>
      </c>
      <c r="O28" s="62">
        <v>19.0</v>
      </c>
      <c r="P28" s="62">
        <v>19.0</v>
      </c>
      <c r="Q28" s="62">
        <v>19.0</v>
      </c>
      <c r="R28" s="62">
        <v>19.0</v>
      </c>
      <c r="S28" s="62">
        <v>19.0</v>
      </c>
      <c r="T28" s="62">
        <v>19.0</v>
      </c>
      <c r="U28" s="62">
        <v>19.0</v>
      </c>
      <c r="V28" s="113">
        <v>20.0</v>
      </c>
      <c r="W28" s="113">
        <v>20.0</v>
      </c>
      <c r="X28" s="113">
        <v>20.0</v>
      </c>
      <c r="Y28" s="113">
        <v>20.0</v>
      </c>
      <c r="Z28" s="113">
        <v>20.0</v>
      </c>
      <c r="AA28" s="113">
        <v>20.0</v>
      </c>
      <c r="AB28" s="113">
        <v>20.0</v>
      </c>
      <c r="AC28" s="113">
        <v>20.0</v>
      </c>
      <c r="AD28" s="165">
        <v>20.0</v>
      </c>
      <c r="AE28" s="165">
        <v>20.0</v>
      </c>
      <c r="AF28" s="165">
        <v>20.0</v>
      </c>
      <c r="AG28" s="165">
        <v>20.0</v>
      </c>
      <c r="AH28" s="165">
        <v>20.0</v>
      </c>
      <c r="AI28" s="165">
        <v>20.0</v>
      </c>
      <c r="AJ28" s="165">
        <v>20.0</v>
      </c>
      <c r="AK28" s="165">
        <v>20.0</v>
      </c>
      <c r="AL28" s="58"/>
      <c r="AM28" s="58"/>
      <c r="AN28" s="58"/>
      <c r="AO28" s="58"/>
      <c r="AP28" s="58"/>
      <c r="AQ28" s="58"/>
    </row>
    <row r="29">
      <c r="A29" s="39"/>
      <c r="B29" s="92" t="s">
        <v>673</v>
      </c>
      <c r="C29" s="48"/>
      <c r="D29" s="92" t="s">
        <v>673</v>
      </c>
      <c r="E29" s="92">
        <v>18.0</v>
      </c>
      <c r="F29" s="62">
        <v>19.0</v>
      </c>
      <c r="G29" s="62">
        <v>19.0</v>
      </c>
      <c r="H29" s="62">
        <v>19.0</v>
      </c>
      <c r="I29" s="62">
        <v>19.0</v>
      </c>
      <c r="J29" s="62">
        <v>19.0</v>
      </c>
      <c r="K29" s="62">
        <v>19.0</v>
      </c>
      <c r="L29" s="62">
        <v>19.0</v>
      </c>
      <c r="M29" s="62"/>
      <c r="N29" s="62">
        <v>18.0</v>
      </c>
      <c r="O29" s="62">
        <v>16.0</v>
      </c>
      <c r="P29" s="62">
        <v>17.0</v>
      </c>
      <c r="Q29" s="62">
        <v>16.0</v>
      </c>
      <c r="R29" s="62">
        <v>18.0</v>
      </c>
      <c r="S29" s="62">
        <v>16.0</v>
      </c>
      <c r="T29" s="62">
        <v>16.0</v>
      </c>
      <c r="U29" s="62">
        <v>17.0</v>
      </c>
      <c r="V29" s="62">
        <v>19.0</v>
      </c>
      <c r="W29" s="62">
        <v>18.0</v>
      </c>
      <c r="X29" s="62">
        <v>18.0</v>
      </c>
      <c r="Y29" s="62">
        <v>19.0</v>
      </c>
      <c r="Z29" s="92">
        <v>18.0</v>
      </c>
      <c r="AA29" s="92">
        <v>18.0</v>
      </c>
      <c r="AB29" s="92">
        <v>18.0</v>
      </c>
      <c r="AC29" s="92">
        <v>18.0</v>
      </c>
      <c r="AD29" s="165">
        <v>19.0</v>
      </c>
      <c r="AE29" s="165">
        <v>20.0</v>
      </c>
      <c r="AF29" s="165">
        <v>18.0</v>
      </c>
      <c r="AG29" s="165">
        <v>19.0</v>
      </c>
      <c r="AH29" s="165">
        <v>20.0</v>
      </c>
      <c r="AI29" s="165">
        <v>20.0</v>
      </c>
      <c r="AJ29" s="165">
        <v>19.0</v>
      </c>
      <c r="AK29" s="165">
        <v>19.0</v>
      </c>
      <c r="AL29" s="58"/>
      <c r="AM29" s="58"/>
      <c r="AN29" s="58"/>
      <c r="AO29" s="58"/>
      <c r="AP29" s="58"/>
      <c r="AQ29" s="58"/>
    </row>
    <row r="30">
      <c r="A30" s="39"/>
      <c r="B30" s="252" t="s">
        <v>674</v>
      </c>
      <c r="C30" s="34"/>
      <c r="D30" s="252" t="s">
        <v>674</v>
      </c>
      <c r="E30" s="92">
        <v>1.0</v>
      </c>
      <c r="F30" s="58"/>
      <c r="G30" s="58"/>
      <c r="H30" s="58"/>
      <c r="I30" s="58"/>
      <c r="J30" s="62"/>
      <c r="K30" s="62">
        <v>0.0</v>
      </c>
      <c r="L30" s="62">
        <v>0.0</v>
      </c>
      <c r="M30" s="62"/>
      <c r="N30" s="62">
        <v>0.0</v>
      </c>
      <c r="O30" s="62">
        <v>0.0</v>
      </c>
      <c r="P30" s="62">
        <v>0.0</v>
      </c>
      <c r="Q30" s="62">
        <v>0.0</v>
      </c>
      <c r="R30" s="62">
        <v>0.0</v>
      </c>
      <c r="S30" s="62">
        <v>0.0</v>
      </c>
      <c r="T30" s="62">
        <v>0.0</v>
      </c>
      <c r="U30" s="62">
        <v>1.0</v>
      </c>
      <c r="V30" s="62">
        <v>0.0</v>
      </c>
      <c r="W30" s="62">
        <v>1.0</v>
      </c>
      <c r="X30" s="62">
        <v>1.0</v>
      </c>
      <c r="Y30" s="62">
        <v>0.0</v>
      </c>
      <c r="Z30" s="92">
        <v>0.0</v>
      </c>
      <c r="AA30" s="92">
        <v>0.0</v>
      </c>
      <c r="AB30" s="92">
        <v>0.0</v>
      </c>
      <c r="AC30" s="92">
        <v>1.0</v>
      </c>
      <c r="AD30" s="165">
        <v>1.0</v>
      </c>
      <c r="AE30" s="165">
        <v>0.0</v>
      </c>
      <c r="AF30" s="165">
        <v>2.0</v>
      </c>
      <c r="AG30" s="165">
        <v>0.0</v>
      </c>
      <c r="AH30" s="165">
        <v>0.0</v>
      </c>
      <c r="AI30" s="165">
        <v>0.0</v>
      </c>
      <c r="AJ30" s="165">
        <v>0.0</v>
      </c>
      <c r="AK30" s="165">
        <v>0.0</v>
      </c>
      <c r="AL30" s="58"/>
      <c r="AM30" s="58"/>
      <c r="AN30" s="58"/>
      <c r="AO30" s="58"/>
      <c r="AP30" s="58"/>
      <c r="AQ30" s="58"/>
    </row>
    <row r="31">
      <c r="A31" s="39"/>
      <c r="B31" s="64" t="s">
        <v>675</v>
      </c>
      <c r="C31" s="34"/>
      <c r="D31" s="64" t="s">
        <v>675</v>
      </c>
      <c r="E31" s="92">
        <v>19.0</v>
      </c>
      <c r="F31" s="92">
        <v>19.0</v>
      </c>
      <c r="G31" s="92">
        <v>19.0</v>
      </c>
      <c r="H31" s="92">
        <v>19.0</v>
      </c>
      <c r="I31" s="92">
        <v>19.0</v>
      </c>
      <c r="J31" s="62">
        <v>19.0</v>
      </c>
      <c r="K31" s="62">
        <v>19.0</v>
      </c>
      <c r="L31" s="62">
        <v>19.0</v>
      </c>
      <c r="M31" s="62"/>
      <c r="N31" s="62">
        <v>18.0</v>
      </c>
      <c r="O31" s="62">
        <v>16.0</v>
      </c>
      <c r="P31" s="62">
        <v>17.0</v>
      </c>
      <c r="Q31" s="62">
        <v>16.0</v>
      </c>
      <c r="R31" s="62">
        <v>18.0</v>
      </c>
      <c r="S31" s="62">
        <v>16.0</v>
      </c>
      <c r="T31" s="62">
        <v>16.0</v>
      </c>
      <c r="U31" s="62">
        <v>17.0</v>
      </c>
      <c r="V31" s="62">
        <v>19.0</v>
      </c>
      <c r="W31" s="62">
        <v>19.0</v>
      </c>
      <c r="X31" s="62">
        <v>19.0</v>
      </c>
      <c r="Y31" s="62">
        <v>19.0</v>
      </c>
      <c r="Z31" s="92">
        <v>19.0</v>
      </c>
      <c r="AA31" s="92">
        <v>18.0</v>
      </c>
      <c r="AB31" s="92">
        <v>18.0</v>
      </c>
      <c r="AC31" s="92">
        <v>19.0</v>
      </c>
      <c r="AD31" s="165">
        <v>20.0</v>
      </c>
      <c r="AE31" s="165">
        <v>20.0</v>
      </c>
      <c r="AF31" s="165">
        <v>20.0</v>
      </c>
      <c r="AG31" s="165">
        <v>19.0</v>
      </c>
      <c r="AH31" s="165">
        <v>20.0</v>
      </c>
      <c r="AI31" s="165">
        <v>20.0</v>
      </c>
      <c r="AJ31" s="165">
        <v>19.0</v>
      </c>
      <c r="AK31" s="165">
        <v>19.0</v>
      </c>
      <c r="AL31" s="58"/>
      <c r="AM31" s="58"/>
      <c r="AN31" s="58"/>
      <c r="AO31" s="58"/>
      <c r="AP31" s="58"/>
      <c r="AQ31" s="58"/>
    </row>
    <row r="32">
      <c r="A32" s="39"/>
      <c r="B32" s="34"/>
      <c r="C32" s="34"/>
      <c r="D32" s="64"/>
      <c r="E32" s="58"/>
      <c r="F32" s="58"/>
      <c r="G32" s="58"/>
      <c r="H32" s="58"/>
      <c r="I32" s="58"/>
      <c r="J32" s="62"/>
      <c r="K32" s="62"/>
      <c r="L32" s="62"/>
      <c r="M32" s="62"/>
      <c r="N32" s="62"/>
      <c r="O32" s="62"/>
      <c r="P32" s="62"/>
      <c r="Q32" s="63"/>
      <c r="R32" s="58"/>
      <c r="S32" s="58"/>
      <c r="T32" s="58"/>
      <c r="U32" s="58"/>
      <c r="V32" s="62"/>
      <c r="W32" s="62"/>
      <c r="X32" s="62"/>
      <c r="Y32" s="62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</row>
    <row r="33">
      <c r="A33" s="39"/>
      <c r="B33" s="34"/>
      <c r="C33" s="34"/>
      <c r="D33" s="34"/>
      <c r="E33" s="42"/>
      <c r="F33" s="42"/>
      <c r="G33" s="42"/>
      <c r="H33" s="42"/>
      <c r="I33" s="42"/>
      <c r="J33" s="39"/>
      <c r="K33" s="39"/>
      <c r="L33" s="39"/>
      <c r="M33" s="39"/>
      <c r="N33" s="39"/>
      <c r="O33" s="39"/>
      <c r="P33" s="39"/>
      <c r="Q33" s="80"/>
      <c r="R33" s="42"/>
      <c r="S33" s="42"/>
      <c r="T33" s="42"/>
      <c r="U33" s="42"/>
      <c r="V33" s="39"/>
      <c r="W33" s="39"/>
      <c r="X33" s="39"/>
      <c r="Y33" s="39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</row>
    <row r="34">
      <c r="A34" s="39"/>
      <c r="B34" s="34"/>
      <c r="C34" s="34"/>
      <c r="D34" s="34"/>
      <c r="J34" s="123"/>
      <c r="K34" s="123"/>
      <c r="L34" s="123"/>
      <c r="M34" s="123"/>
      <c r="N34" s="123"/>
      <c r="O34" s="123"/>
      <c r="P34" s="123"/>
      <c r="Q34" s="124"/>
      <c r="V34" s="39"/>
      <c r="W34" s="39"/>
      <c r="X34" s="39"/>
      <c r="Y34" s="39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</row>
    <row r="35"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</row>
    <row r="36"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</row>
    <row r="37"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</row>
    <row r="38">
      <c r="A38" s="81"/>
      <c r="B38" s="86" t="s">
        <v>85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7"/>
      <c r="AI38" s="47"/>
      <c r="AJ38" s="47"/>
      <c r="AK38" s="47"/>
      <c r="AL38" s="47"/>
      <c r="AM38" s="47"/>
      <c r="AN38" s="47"/>
      <c r="AO38" s="47"/>
      <c r="AP38" s="47"/>
      <c r="AQ38" s="47"/>
    </row>
    <row r="39">
      <c r="A39" s="81"/>
      <c r="B39" s="86" t="s">
        <v>87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</row>
    <row r="40">
      <c r="B40" s="86" t="s">
        <v>88</v>
      </c>
      <c r="C40" s="80"/>
      <c r="D40" s="66"/>
      <c r="E40" s="66"/>
      <c r="F40" s="66"/>
      <c r="G40" s="66"/>
      <c r="H40" s="66"/>
      <c r="I40" s="66"/>
      <c r="J40" s="253"/>
      <c r="K40" s="253"/>
      <c r="L40" s="80"/>
      <c r="M40" s="80"/>
      <c r="N40" s="253"/>
      <c r="O40" s="253"/>
      <c r="P40" s="80"/>
      <c r="Q40" s="80"/>
      <c r="R40" s="254"/>
      <c r="S40" s="254"/>
      <c r="T40" s="254"/>
      <c r="U40" s="255"/>
      <c r="V40" s="157"/>
      <c r="W40" s="157"/>
      <c r="X40" s="157"/>
      <c r="Y40" s="103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</row>
    <row r="41">
      <c r="B41" s="86" t="s">
        <v>89</v>
      </c>
      <c r="C41" s="80"/>
      <c r="D41" s="66"/>
      <c r="E41" s="66"/>
      <c r="F41" s="66"/>
      <c r="G41" s="66"/>
      <c r="H41" s="66"/>
      <c r="I41" s="78"/>
      <c r="J41" s="157"/>
      <c r="K41" s="157"/>
      <c r="L41" s="39"/>
      <c r="M41" s="39"/>
      <c r="N41" s="157"/>
      <c r="O41" s="157"/>
      <c r="P41" s="39"/>
      <c r="Q41" s="39"/>
      <c r="R41" s="157"/>
      <c r="S41" s="157"/>
      <c r="T41" s="138"/>
      <c r="U41" s="138"/>
      <c r="V41" s="256"/>
      <c r="W41" s="256"/>
      <c r="X41" s="256"/>
      <c r="Y41" s="256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</row>
    <row r="42">
      <c r="B42" s="86" t="s">
        <v>90</v>
      </c>
      <c r="C42" s="80"/>
      <c r="D42" s="66"/>
      <c r="E42" s="66"/>
      <c r="F42" s="66"/>
      <c r="G42" s="66"/>
      <c r="H42" s="66"/>
      <c r="I42" s="66"/>
      <c r="J42" s="157"/>
      <c r="K42" s="157"/>
      <c r="L42" s="39"/>
      <c r="M42" s="39"/>
      <c r="N42" s="157"/>
      <c r="O42" s="157"/>
      <c r="P42" s="39"/>
      <c r="Q42" s="39"/>
      <c r="R42" s="157"/>
      <c r="S42" s="157"/>
      <c r="T42" s="138"/>
      <c r="U42" s="138"/>
      <c r="V42" s="256"/>
      <c r="W42" s="256"/>
      <c r="X42" s="256"/>
      <c r="Y42" s="256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</row>
    <row r="43">
      <c r="B43" s="48"/>
      <c r="C43" s="39"/>
      <c r="D43" s="66"/>
      <c r="E43" s="66"/>
      <c r="F43" s="66"/>
      <c r="G43" s="66"/>
      <c r="H43" s="66"/>
      <c r="I43" s="66"/>
      <c r="J43" s="157"/>
      <c r="K43" s="157"/>
      <c r="L43" s="39"/>
      <c r="M43" s="39"/>
      <c r="N43" s="157"/>
      <c r="O43" s="157"/>
      <c r="P43" s="39"/>
      <c r="Q43" s="39"/>
      <c r="R43" s="157"/>
      <c r="S43" s="157"/>
      <c r="T43" s="138"/>
      <c r="U43" s="138"/>
      <c r="V43" s="256"/>
      <c r="W43" s="256"/>
      <c r="X43" s="256"/>
      <c r="Y43" s="256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</row>
    <row r="44">
      <c r="C44" s="80"/>
      <c r="D44" s="66"/>
      <c r="E44" s="66"/>
      <c r="F44" s="66"/>
      <c r="G44" s="66"/>
      <c r="H44" s="66"/>
      <c r="I44" s="66"/>
      <c r="J44" s="157"/>
      <c r="K44" s="157"/>
      <c r="L44" s="39"/>
      <c r="M44" s="39"/>
      <c r="N44" s="157"/>
      <c r="O44" s="157"/>
      <c r="P44" s="39"/>
      <c r="Q44" s="39"/>
      <c r="R44" s="157"/>
      <c r="S44" s="157"/>
      <c r="T44" s="157"/>
      <c r="U44" s="157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</row>
    <row r="45">
      <c r="B45" s="257"/>
      <c r="C45" s="80"/>
      <c r="D45" s="66"/>
      <c r="E45" s="66"/>
      <c r="F45" s="66"/>
      <c r="G45" s="66"/>
      <c r="H45" s="66"/>
      <c r="I45" s="66"/>
      <c r="J45" s="66"/>
      <c r="K45" s="66"/>
      <c r="L45" s="80"/>
      <c r="M45" s="80"/>
      <c r="N45" s="66"/>
      <c r="O45" s="66"/>
      <c r="P45" s="80"/>
      <c r="Q45" s="80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</row>
    <row r="46">
      <c r="C46" s="80"/>
      <c r="D46" s="81"/>
      <c r="E46" s="81"/>
      <c r="F46" s="81"/>
      <c r="G46" s="81"/>
      <c r="H46" s="81"/>
      <c r="I46" s="81"/>
      <c r="J46" s="81"/>
      <c r="K46" s="81"/>
      <c r="N46" s="81"/>
      <c r="O46" s="81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</row>
    <row r="47">
      <c r="B47" s="48"/>
      <c r="C47" s="39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</row>
    <row r="48"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</row>
    <row r="49"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</row>
    <row r="50"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</row>
    <row r="51"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</row>
    <row r="52"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</row>
    <row r="53"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</row>
    <row r="54"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</row>
    <row r="55"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</row>
    <row r="56"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</row>
    <row r="57"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</row>
    <row r="58"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</row>
    <row r="59"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</row>
    <row r="60"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</row>
    <row r="61"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</row>
    <row r="62"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</row>
    <row r="63"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</row>
    <row r="64"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</row>
    <row r="65"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</row>
    <row r="66"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</row>
    <row r="67"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</row>
    <row r="68"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</row>
    <row r="69"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</row>
    <row r="70"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</row>
    <row r="71"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</row>
    <row r="72"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</row>
    <row r="73"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</row>
    <row r="74"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</row>
    <row r="75"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</row>
    <row r="76"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</row>
    <row r="77"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</row>
    <row r="78"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</row>
    <row r="79"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</row>
    <row r="80"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</row>
    <row r="81"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</row>
    <row r="82"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</row>
    <row r="83"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</row>
    <row r="84"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</row>
    <row r="85"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</row>
    <row r="86"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</row>
    <row r="87"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</row>
    <row r="88"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</row>
    <row r="89"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</row>
    <row r="90"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</row>
    <row r="91"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</row>
    <row r="92"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</row>
    <row r="93"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</row>
    <row r="94"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</row>
    <row r="95"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</row>
    <row r="96"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</row>
    <row r="97"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</row>
    <row r="98"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</row>
    <row r="99"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</row>
    <row r="100"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</row>
    <row r="101"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</row>
    <row r="102"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</row>
    <row r="103"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</row>
    <row r="104"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</row>
    <row r="105"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</row>
    <row r="106"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</row>
    <row r="107"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</row>
    <row r="108"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</row>
    <row r="109"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</row>
    <row r="110"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</row>
    <row r="111"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</row>
    <row r="112"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</row>
    <row r="113"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</row>
    <row r="114"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</row>
    <row r="115"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</row>
    <row r="116"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</row>
    <row r="117"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</row>
    <row r="118"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</row>
    <row r="119"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</row>
    <row r="120"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</row>
    <row r="121"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</row>
    <row r="122"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</row>
    <row r="123"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</row>
    <row r="124"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</row>
    <row r="125"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</row>
    <row r="126"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</row>
    <row r="127"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</row>
    <row r="128"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</row>
    <row r="129"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</row>
    <row r="130"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</row>
    <row r="131"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</row>
    <row r="132"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</row>
    <row r="133"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</row>
    <row r="134"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</row>
    <row r="135"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</row>
    <row r="136"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</row>
    <row r="137"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</row>
    <row r="138"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</row>
    <row r="139"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</row>
    <row r="140"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</row>
    <row r="141"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</row>
    <row r="142"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</row>
    <row r="143"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</row>
    <row r="144"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</row>
    <row r="145"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</row>
    <row r="146"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</row>
    <row r="147"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</row>
    <row r="148"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</row>
    <row r="149"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</row>
    <row r="150"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</row>
    <row r="151"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</row>
    <row r="152"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</row>
    <row r="153"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</row>
    <row r="154"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</row>
    <row r="155"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</row>
    <row r="156"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</row>
    <row r="157"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</row>
    <row r="158"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</row>
    <row r="159"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</row>
    <row r="160"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</row>
    <row r="161"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</row>
    <row r="162"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</row>
    <row r="163"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</row>
    <row r="164"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</row>
    <row r="165"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</row>
    <row r="166"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</row>
    <row r="167"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</row>
    <row r="168"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</row>
    <row r="169"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</row>
    <row r="170"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</row>
    <row r="171"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</row>
    <row r="172"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</row>
    <row r="173"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</row>
    <row r="174"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</row>
    <row r="175"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</row>
    <row r="176"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</row>
    <row r="177"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</row>
    <row r="178"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</row>
    <row r="179"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</row>
    <row r="180"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</row>
    <row r="181"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</row>
    <row r="182"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</row>
    <row r="183"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</row>
    <row r="184"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</row>
    <row r="185"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</row>
    <row r="186"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</row>
    <row r="187"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</row>
    <row r="188"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</row>
    <row r="189"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</row>
    <row r="190"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</row>
    <row r="191"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</row>
    <row r="192"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</row>
    <row r="193"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</row>
    <row r="194"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</row>
    <row r="195"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</row>
    <row r="196"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</row>
    <row r="197"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</row>
    <row r="198"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</row>
    <row r="199"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</row>
    <row r="200"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</row>
    <row r="201"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</row>
    <row r="202"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</row>
    <row r="203"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</row>
    <row r="204"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</row>
    <row r="205"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</row>
    <row r="206"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</row>
    <row r="207"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</row>
    <row r="208"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</row>
    <row r="209"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</row>
    <row r="210"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</row>
    <row r="211"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</row>
    <row r="212"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</row>
    <row r="213"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</row>
    <row r="214"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</row>
    <row r="215"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</row>
    <row r="216"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</row>
    <row r="217"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</row>
    <row r="218"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</row>
    <row r="219"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</row>
    <row r="220"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</row>
    <row r="221"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</row>
    <row r="222"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</row>
    <row r="223"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</row>
    <row r="224"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</row>
    <row r="225"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</row>
    <row r="226"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</row>
    <row r="227"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</row>
    <row r="228"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</row>
    <row r="229"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</row>
    <row r="230"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</row>
    <row r="231"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</row>
    <row r="232"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</row>
    <row r="233"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</row>
    <row r="234"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</row>
    <row r="235"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</row>
    <row r="236"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</row>
    <row r="237"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</row>
    <row r="238"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</row>
    <row r="239"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</row>
    <row r="240"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</row>
    <row r="241"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</row>
    <row r="242"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</row>
    <row r="243"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</row>
    <row r="244"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</row>
    <row r="245"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</row>
    <row r="246"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</row>
    <row r="247"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</row>
    <row r="248"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</row>
    <row r="249"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</row>
    <row r="250"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</row>
    <row r="251"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</row>
    <row r="252"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</row>
    <row r="253"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</row>
    <row r="254"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</row>
    <row r="255"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</row>
    <row r="256"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</row>
    <row r="257"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</row>
    <row r="258"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</row>
    <row r="259"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</row>
    <row r="260"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</row>
    <row r="261"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</row>
    <row r="262"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</row>
    <row r="263"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</row>
    <row r="264"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</row>
    <row r="265"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</row>
    <row r="266"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</row>
    <row r="267"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</row>
    <row r="268"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</row>
    <row r="269"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</row>
    <row r="270"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</row>
    <row r="271"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</row>
    <row r="272"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</row>
    <row r="273"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</row>
    <row r="274"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</row>
    <row r="275"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</row>
    <row r="276"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</row>
    <row r="277"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</row>
    <row r="278"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</row>
    <row r="279"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</row>
    <row r="280"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</row>
    <row r="281"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</row>
    <row r="282"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</row>
    <row r="283"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</row>
    <row r="284"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</row>
    <row r="285"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</row>
    <row r="286"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</row>
    <row r="287"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</row>
    <row r="288"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</row>
    <row r="289"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</row>
    <row r="290"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</row>
    <row r="291"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</row>
    <row r="292"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</row>
    <row r="293"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</row>
    <row r="294"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</row>
    <row r="295"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</row>
    <row r="296"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</row>
    <row r="297"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</row>
    <row r="298"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</row>
    <row r="299"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</row>
    <row r="300"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</row>
    <row r="301"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</row>
    <row r="302"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</row>
    <row r="303"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</row>
    <row r="304"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</row>
    <row r="305"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</row>
    <row r="306"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</row>
    <row r="307"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</row>
    <row r="308"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</row>
    <row r="309"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</row>
    <row r="310"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</row>
    <row r="311"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</row>
    <row r="312"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</row>
    <row r="313"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</row>
    <row r="314"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</row>
    <row r="315"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</row>
    <row r="316"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</row>
    <row r="317"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</row>
    <row r="318"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</row>
    <row r="319"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</row>
    <row r="320"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</row>
    <row r="321"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</row>
    <row r="322"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</row>
    <row r="323"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</row>
    <row r="324"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</row>
    <row r="325"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</row>
    <row r="326"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</row>
    <row r="327"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</row>
    <row r="328"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</row>
    <row r="329"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</row>
    <row r="330"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</row>
    <row r="331"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</row>
    <row r="332"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</row>
    <row r="333"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</row>
    <row r="334"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</row>
    <row r="335"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</row>
    <row r="336"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</row>
    <row r="337"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</row>
    <row r="338"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</row>
    <row r="339"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</row>
    <row r="340"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</row>
    <row r="341"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</row>
    <row r="342"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</row>
    <row r="343"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</row>
    <row r="344"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</row>
    <row r="345"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</row>
    <row r="346"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</row>
    <row r="347"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</row>
    <row r="348"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</row>
    <row r="349"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</row>
    <row r="350"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</row>
    <row r="351"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</row>
    <row r="352"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</row>
    <row r="353"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</row>
    <row r="354"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</row>
    <row r="355"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</row>
    <row r="356"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</row>
    <row r="357"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</row>
    <row r="358"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</row>
    <row r="359"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</row>
    <row r="360"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</row>
    <row r="361"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</row>
    <row r="362"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</row>
    <row r="363"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</row>
    <row r="364"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</row>
    <row r="365"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</row>
    <row r="366"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</row>
    <row r="367"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</row>
    <row r="368"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</row>
    <row r="369"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</row>
    <row r="370"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</row>
    <row r="371"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</row>
    <row r="372"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</row>
    <row r="373"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</row>
    <row r="374"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</row>
    <row r="375"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</row>
    <row r="376"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</row>
    <row r="377"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</row>
    <row r="378"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</row>
    <row r="379"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</row>
    <row r="380"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</row>
    <row r="381"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</row>
    <row r="382"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</row>
    <row r="383"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</row>
    <row r="384"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</row>
    <row r="385"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</row>
    <row r="386"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</row>
    <row r="387"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</row>
    <row r="388"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</row>
    <row r="389"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</row>
    <row r="390"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</row>
    <row r="391"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</row>
    <row r="392"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</row>
    <row r="393"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</row>
    <row r="394"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</row>
    <row r="395"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</row>
    <row r="396"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</row>
    <row r="397"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</row>
    <row r="398"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</row>
    <row r="399"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</row>
    <row r="400"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</row>
    <row r="401"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</row>
    <row r="402"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</row>
    <row r="403"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</row>
  </sheetData>
  <mergeCells count="11">
    <mergeCell ref="N2:U2"/>
    <mergeCell ref="V2:AC2"/>
    <mergeCell ref="AD2:AK2"/>
    <mergeCell ref="AL2:AQ2"/>
    <mergeCell ref="A1:B2"/>
    <mergeCell ref="E1:L1"/>
    <mergeCell ref="N1:U1"/>
    <mergeCell ref="V1:AC1"/>
    <mergeCell ref="AD1:AK1"/>
    <mergeCell ref="AL1:AQ1"/>
    <mergeCell ref="E2:L2"/>
  </mergeCells>
  <hyperlinks>
    <hyperlink r:id="rId1" ref="A3"/>
  </hyperlinks>
  <drawing r:id="rId2"/>
</worksheet>
</file>