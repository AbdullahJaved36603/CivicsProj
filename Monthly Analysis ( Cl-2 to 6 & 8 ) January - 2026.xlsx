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2" sheetId="1" r:id="rId4"/>
    <sheet state="visible" name="Class-3" sheetId="2" r:id="rId5"/>
    <sheet state="visible" name="Class-4" sheetId="3" r:id="rId6"/>
    <sheet state="visible" name="Class-5" sheetId="4" r:id="rId7"/>
    <sheet state="visible" name="Class 6th - 8th" sheetId="5" r:id="rId8"/>
    <sheet state="visible" name="Fast Track L-2 " sheetId="6" r:id="rId9"/>
    <sheet state="visible" name="Fast Track Level - 3 " sheetId="7" r:id="rId10"/>
  </sheets>
  <definedNames/>
  <calcPr/>
</workbook>
</file>

<file path=xl/sharedStrings.xml><?xml version="1.0" encoding="utf-8"?>
<sst xmlns="http://schemas.openxmlformats.org/spreadsheetml/2006/main" count="710" uniqueCount="227">
  <si>
    <t>Class-2 School Wise Monthly Test Result Analysis December, 2025</t>
  </si>
  <si>
    <t>English</t>
  </si>
  <si>
    <t>Urdu</t>
  </si>
  <si>
    <t>Math</t>
  </si>
  <si>
    <t>G.K</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</si>
  <si>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</si>
  <si>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</si>
  <si>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</si>
  <si>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</si>
  <si>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</si>
  <si>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</si>
  <si>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</si>
  <si>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</si>
  <si>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</si>
  <si>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</si>
  <si>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</si>
  <si>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</si>
  <si>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</si>
  <si>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</si>
  <si>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</si>
  <si>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</si>
  <si>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</si>
  <si>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</si>
  <si>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</si>
  <si>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</si>
  <si>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</si>
  <si>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</si>
  <si>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</si>
  <si>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</si>
  <si>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</si>
  <si>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</si>
  <si>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</si>
  <si>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</si>
  <si>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School</t>
  </si>
  <si>
    <t>Class</t>
  </si>
  <si>
    <t>Teacher Name</t>
  </si>
  <si>
    <t>T.Students</t>
  </si>
  <si>
    <t>Absent</t>
  </si>
  <si>
    <t>Passed</t>
  </si>
  <si>
    <t>Failed</t>
  </si>
  <si>
    <t>Total Appeared</t>
  </si>
  <si>
    <t>Percentage</t>
  </si>
  <si>
    <t>failed</t>
  </si>
  <si>
    <t>PK-3</t>
  </si>
  <si>
    <t>2A</t>
  </si>
  <si>
    <t xml:space="preserve">M. Farooq </t>
  </si>
  <si>
    <t>PK-6</t>
  </si>
  <si>
    <t xml:space="preserve">Alina Riaz </t>
  </si>
  <si>
    <t>2B</t>
  </si>
  <si>
    <t xml:space="preserve">Aqsa Bibi </t>
  </si>
  <si>
    <t>PK-7</t>
  </si>
  <si>
    <t xml:space="preserve">Saleema Jamshaid </t>
  </si>
  <si>
    <t>PK-9</t>
  </si>
  <si>
    <t xml:space="preserve">Sundas Zufiqar </t>
  </si>
  <si>
    <t xml:space="preserve">Iqra Waheed </t>
  </si>
  <si>
    <t>PK- 10</t>
  </si>
  <si>
    <t>Iqra Abbasi</t>
  </si>
  <si>
    <t>PK-11</t>
  </si>
  <si>
    <t xml:space="preserve">Mehwish Atta </t>
  </si>
  <si>
    <t xml:space="preserve">2B </t>
  </si>
  <si>
    <t xml:space="preserve">Muqadas Arshad </t>
  </si>
  <si>
    <t>2C</t>
  </si>
  <si>
    <t xml:space="preserve">Iqra Tabassum </t>
  </si>
  <si>
    <t>Scale set                       Status</t>
  </si>
  <si>
    <t>Colour</t>
  </si>
  <si>
    <t xml:space="preserve"> 0 % - 49%</t>
  </si>
  <si>
    <t>Below Average</t>
  </si>
  <si>
    <t>Light Blue</t>
  </si>
  <si>
    <t>50 % - 74%</t>
  </si>
  <si>
    <t>Average</t>
  </si>
  <si>
    <t>Light Green</t>
  </si>
  <si>
    <t>75% -100%</t>
  </si>
  <si>
    <t>Good</t>
  </si>
  <si>
    <t>Orange</t>
  </si>
  <si>
    <t>class</t>
  </si>
  <si>
    <t>Subjects</t>
  </si>
  <si>
    <t>Reason</t>
  </si>
  <si>
    <t>Strategy</t>
  </si>
  <si>
    <t>PKS 3</t>
  </si>
  <si>
    <t>Urdu,Eng,G.K</t>
  </si>
  <si>
    <t>M.Farooq</t>
  </si>
  <si>
    <t xml:space="preserve">
Students lack a strong foundation in both English and Urdu. This is directly affecting their performance in English and GK and indirectly impacting all other subjects that require reading and understanding.
Students struggle with reading instructions and questions.
Limited vocabulary makes it difficult for them to understand lessons and express ideas.
Sentence formation is weak, which affects written responses.
Reading comprehension is poor, so students cannot grasp the meaning of passages or word problems.
Weak comprehension is impacting performance across all English-based subjects.
Weak reading habits and lack of practice are major contributors.
In Mathematics, a large number of students are struggling with basic concepts.
Errors show weak number sense rather than careless mistakes.
Students face difficulty with fundamental operations and basic problem-solving.
Weak understanding of language also affects their ability to understand math questions.</t>
  </si>
  <si>
    <t xml:space="preserve">Dedicate 20 minutes daily specifically for weak students in English and Urdu.
Conduct small-group or remedial sessions for students who are repeatedly failing.
Identify students who failed in the second and third assessments and place them under focused support to prevent gaps from continuing.
Implement daily reading practice (loud reading, paired reading, teacher-guided reading).
Use guided writing activities to improve sentence construction.
Plan regular vocabulary-building activities and oral usage in class.
Give continued attention to reading comprehension, vocabulary use, and sentence formation, as weaknesses here contributed to mid-term performance dips.
Use short weekly checks and oral questioning to confirm understanding before moving to new topics.
Reinforce math concepts through step-by-step teaching, moving from oral practice to written work.
Give special focus to basic operations, number sense, multi-step questions, and word problems, especially for average and slow learners.
Use daily oral questioning and mental math to assess understanding before written tasks.
Ensure math concepts are revisited regularly, not only before exams.
</t>
  </si>
  <si>
    <t>PKS 6</t>
  </si>
  <si>
    <t>Maths</t>
  </si>
  <si>
    <t>Aqsa Bibi</t>
  </si>
  <si>
    <t>PKS 7</t>
  </si>
  <si>
    <t>Urdu,Maths</t>
  </si>
  <si>
    <t>Saleema Jamshed</t>
  </si>
  <si>
    <t>PKS 9</t>
  </si>
  <si>
    <t>Iqra Waheed</t>
  </si>
  <si>
    <t>PKS 11</t>
  </si>
  <si>
    <t>2B,2C</t>
  </si>
  <si>
    <t>Maths,Urdu,English</t>
  </si>
  <si>
    <t xml:space="preserve">Muqadas Arshad
</t>
  </si>
  <si>
    <t>Class-3 School Wise Monthly Test Result Analysis December, 2025</t>
  </si>
  <si>
    <t>Islamiat</t>
  </si>
  <si>
    <t>T. Students</t>
  </si>
  <si>
    <t xml:space="preserve">PK 3 </t>
  </si>
  <si>
    <t xml:space="preserve">3A </t>
  </si>
  <si>
    <t xml:space="preserve">Muhammad Afzal </t>
  </si>
  <si>
    <t>3A</t>
  </si>
  <si>
    <t xml:space="preserve">Amna Bashir </t>
  </si>
  <si>
    <t>3B</t>
  </si>
  <si>
    <t xml:space="preserve">Areeba Bibi </t>
  </si>
  <si>
    <t xml:space="preserve">PK7 </t>
  </si>
  <si>
    <t xml:space="preserve">Shazia Bashir </t>
  </si>
  <si>
    <t xml:space="preserve">Sanam Hassan </t>
  </si>
  <si>
    <t>PK-10</t>
  </si>
  <si>
    <t xml:space="preserve">Komal Bakir </t>
  </si>
  <si>
    <t xml:space="preserve">Nimra Sadaqat </t>
  </si>
  <si>
    <t>Maria Bibi</t>
  </si>
  <si>
    <t>Scale set</t>
  </si>
  <si>
    <t>Status</t>
  </si>
  <si>
    <t>0 % - 50 %</t>
  </si>
  <si>
    <t xml:space="preserve"> </t>
  </si>
  <si>
    <t>50 % - 75 %</t>
  </si>
  <si>
    <t>75 % -100 %</t>
  </si>
  <si>
    <t>Suggested Measures</t>
  </si>
  <si>
    <t>All subjects</t>
  </si>
  <si>
    <t>M.Afzal</t>
  </si>
  <si>
    <t>Extremely high failure rate (68–86% students struggling).
Poor vocabulary and sentence comprehension.
Unable to attempt written answers meaningfully.</t>
  </si>
  <si>
    <t>Place immediate focus on basic reading skills and phonics, rather than rushing through the grade syllabus.
Use the guided reading method, focusing on:
word recognition and phonics
vocabulary meaning
simple comprehension questions (who, what, where, why)
Provide one-to-one reading support for students who cannot read independently.
Teach vocabulary orally before any written task.
Begin with strong revision of basic concepts, especially
number recognition and number sense
addition and subtraction basics
place value
Use oral practice and concrete materials before written work.
Teach concepts in small steps, checking understanding through oral questioning.
Do not move forward until most students show basic mastery.</t>
  </si>
  <si>
    <t>English,Urdu,G.K</t>
  </si>
  <si>
    <t>Sanam Hassan</t>
  </si>
  <si>
    <t>Indicates difficulty with concepts, calculations, or problem-solving.Likely struggles with grammar, sentence construction, or organizing ideas properly.</t>
  </si>
  <si>
    <t>Class-4 School Monthly Test Result Analysis December, 2025</t>
  </si>
  <si>
    <t>G.Sc</t>
  </si>
  <si>
    <t>S.st</t>
  </si>
  <si>
    <t>Appeared</t>
  </si>
  <si>
    <t xml:space="preserve">Absent </t>
  </si>
  <si>
    <t>4A</t>
  </si>
  <si>
    <t>Haseena Saddique</t>
  </si>
  <si>
    <t>4B</t>
  </si>
  <si>
    <t xml:space="preserve">Raheela Naz </t>
  </si>
  <si>
    <t>PK7</t>
  </si>
  <si>
    <t xml:space="preserve">Sumaira Jan </t>
  </si>
  <si>
    <t>Shagufta Bibi</t>
  </si>
  <si>
    <t xml:space="preserve">Jaweria Irshad </t>
  </si>
  <si>
    <t>Sugessted measures</t>
  </si>
  <si>
    <t>No student failed in Urdu, seven students failed in Islamiat, which clearly shows that the issue is not basic reading or writing ability. Since students were able to pass Urdu, it indicates that they can read and write to a basic level.
The weak performance in Islamiat reflects that students were not properly prepared for the test and showed a non-serious attitude toward study and revision. This suggests gaps in test readiness, regular revision, and responsibility toward assessments, rather than only language difficulty.</t>
  </si>
  <si>
    <t>It highlights the need to strengthen:
regular subject-wise revision,
exam preparation routines, and
student accountability and seriousness toward tests.</t>
  </si>
  <si>
    <t>G.Science</t>
  </si>
  <si>
    <t xml:space="preserve">
In G.science only 65% pass indicates a below-average performance, showing gaps in understanding or application of scientific concepts.</t>
  </si>
  <si>
    <t>Continue reading comprehension exercises to strengthen understanding.
Encourage oral summaries of passages to reinforce retention.
Use vocabulary exercises focusing on commonly missed words.
Use simple explanations, diagrams, and examples to clarify concepts.
Include real-life examples or experiments to link theory to practice.</t>
  </si>
  <si>
    <t>PKS 10</t>
  </si>
  <si>
    <t>Maths,G.Science</t>
  </si>
  <si>
    <t>Weak understanding of multi-step problems and word problems.</t>
  </si>
  <si>
    <t>Teach students to break questions into steps and write each step.
Encourage checking calculations before submission.Assign daily small exercises covering multiple question types.</t>
  </si>
  <si>
    <t>Performance is below average and inconsistent in all subjects indicate struggles with conceptual clarity and application.Weakness in applying concepts to questions.</t>
  </si>
  <si>
    <t>Use diagrams, flowcharts, and simple experiments or activities to clarify concepts.
Practice application-based and reasoning questions.
Conduct frequent, short revisions to improve retention.</t>
  </si>
  <si>
    <t>Class-5th  Monthly test result analysis December, 2025</t>
  </si>
  <si>
    <t>5A</t>
  </si>
  <si>
    <t xml:space="preserve">Sakina Ijaz </t>
  </si>
  <si>
    <t>PK 6</t>
  </si>
  <si>
    <t xml:space="preserve">Haseena Saddique </t>
  </si>
  <si>
    <t>5B</t>
  </si>
  <si>
    <t xml:space="preserve">PK-10 </t>
  </si>
  <si>
    <t>PK 11</t>
  </si>
  <si>
    <t>Raheela Rehman</t>
  </si>
  <si>
    <t>0 % - 49%</t>
  </si>
  <si>
    <t>Difficulty in understanding passages, identifying main ideas, and interpreting questions.
Weak sentence construction, grammar, punctuation, and expression of ideas.
Students struggle to apply understanding to answer questions correctly.
Difficulty solving word problems and multi-step problems.</t>
  </si>
  <si>
    <t>Short passages followed by oral or written summaries.Focus on frequently misused words and common grammar patterns.Paragraphs, short essays, and guide to improve sentence formation and clarity.
Include daily maths practice for atleast 5-8 sums.</t>
  </si>
  <si>
    <t>Social Studies,Islamiat,Maths</t>
  </si>
  <si>
    <t xml:space="preserve">Weak ability to write answers in their own words, rely on rote learning instead.
Students got less time to practice the maths
</t>
  </si>
  <si>
    <t>Encourage students to write answers in their own words for questions on lessons, Hadith, or Quranic stories.
Start with short structured answers, gradually increasing length.Relate lessons to daily life scenarios to make concepts meaningful.
Include daily maths practice for atleast 5-8 sums.</t>
  </si>
  <si>
    <t>Class-6th &amp; 8th  Monthly test result analysis August, 2025</t>
  </si>
  <si>
    <t>Computer</t>
  </si>
  <si>
    <t>History</t>
  </si>
  <si>
    <t>Geography</t>
  </si>
  <si>
    <t xml:space="preserve">Islamiat </t>
  </si>
  <si>
    <t xml:space="preserve">6th </t>
  </si>
  <si>
    <t>Saima Majeed</t>
  </si>
  <si>
    <t xml:space="preserve">8th </t>
  </si>
  <si>
    <t xml:space="preserve">PK 9 </t>
  </si>
  <si>
    <t xml:space="preserve">7th </t>
  </si>
  <si>
    <t>Tehmina Hanif</t>
  </si>
  <si>
    <t>Suggested Measure</t>
  </si>
  <si>
    <t>6&amp;8</t>
  </si>
  <si>
    <t>English,Maths,History</t>
  </si>
  <si>
    <t>The teacher was unable to provide a valid academic reason for the low results. However, based on team observations, it was noted that the teacher’s frequent leaves negatively impacted class continuity and student performance.</t>
  </si>
  <si>
    <t>The teacher will prepare a structured test plan for all remaining weeks.Weekly mathematics tests will be conducted regularly.
The results of these weekly tests will be carefully analyzed to track improvement and identify weak students and weak areas.
Strong emphasis will be placed on maths practice.
Use the cycle: teach → practice → test → analyze → re-teach → re-test.</t>
  </si>
  <si>
    <t>Fast track ALP Monthly test result December 2025</t>
  </si>
  <si>
    <t xml:space="preserve">GK </t>
  </si>
  <si>
    <t xml:space="preserve">ALP Level - 2 </t>
  </si>
  <si>
    <t xml:space="preserve">PK 5 </t>
  </si>
  <si>
    <t xml:space="preserve">Level 2 A </t>
  </si>
  <si>
    <t xml:space="preserve">Khatim Naz </t>
  </si>
  <si>
    <t>Level 2 B</t>
  </si>
  <si>
    <t>Amna Bibi</t>
  </si>
  <si>
    <t xml:space="preserve">PK 8 </t>
  </si>
  <si>
    <t xml:space="preserve">Zeenat Javed </t>
  </si>
  <si>
    <t xml:space="preserve">Level 2 B </t>
  </si>
  <si>
    <t>Eisha Bibi</t>
  </si>
  <si>
    <t xml:space="preserve">Level 2 C </t>
  </si>
  <si>
    <t xml:space="preserve">Ahsanullah </t>
  </si>
  <si>
    <t>PKS 5</t>
  </si>
  <si>
    <t>Level 2 
A&amp;B</t>
  </si>
  <si>
    <t>Maths,G.K,Islamiat
Islamiat</t>
  </si>
  <si>
    <t>Khatim Naz
Amna Bibi</t>
  </si>
  <si>
    <t xml:space="preserve"> Most students faced significant challenges in reading and writing skills, which directly affected their academic progress and limited improvement in test outcomes. At PKS 5, the results in Mathematics, General Knowledge, and Islamiat remained below average, particularly in Mathematics where insufficient practice, limited activity-based learning, and an excessive focus on syllabus coverage rather than concept reinforcement were observed.</t>
  </si>
  <si>
    <t>PKS 8</t>
  </si>
  <si>
    <t>Level 2
A,B&amp;C</t>
  </si>
  <si>
    <t>All Subjects</t>
  </si>
  <si>
    <t xml:space="preserve">Zeenat Javed 
Eisha Bibi
Ahsanullah 
</t>
  </si>
  <si>
    <t xml:space="preserve"> At PKS 8, high teacher turnover, lack of effective student engagement, and improper delivery of lesson plans adversely impacted learning outcomes. Classroom observations further revealed that teachers largely followed traditional teaching methods and did not  address level-based learning needs, especially for students with weak foundations, resulting in minimal improvement in reading, writing, and overall monthly test performance.</t>
  </si>
  <si>
    <t xml:space="preserve">Science </t>
  </si>
  <si>
    <t>S.ST</t>
  </si>
  <si>
    <t>Fast Track Level - 3</t>
  </si>
  <si>
    <t xml:space="preserve">PKS- 3 </t>
  </si>
  <si>
    <t xml:space="preserve">Level 3 </t>
  </si>
  <si>
    <t>Huma Bibi</t>
  </si>
  <si>
    <t>PKS- 5</t>
  </si>
  <si>
    <t xml:space="preserve">Level 3A </t>
  </si>
  <si>
    <t>Asia Noreen</t>
  </si>
  <si>
    <t>PKS - 8</t>
  </si>
  <si>
    <t xml:space="preserve">M. Bilal </t>
  </si>
  <si>
    <t>Aliya Bibi</t>
  </si>
  <si>
    <t xml:space="preserve">3C </t>
  </si>
  <si>
    <t>Muqadas Imtiaz</t>
  </si>
  <si>
    <t>PKS -3</t>
  </si>
  <si>
    <t>Level -3</t>
  </si>
  <si>
    <t>In three schools, the Level 3 results of overage students clearly show a weak foundation in language and numeracy. This indicates long-standing learning gaps that were not addressed at earlier stages.
The situation in PKS 3 highlights an additional concern. During the tests, a noticeable number of students were absent, which reflects:
low parental engagement,
lack of seriousness among students, and
weak ownership of assessments and learning.
This shows that along with academic weakness, there is also a behavioral and support gap affecting performance.</t>
  </si>
  <si>
    <t>Develop a structured, focused revision plan for Level 3 overage students.
Revision should prioritize:
basic reading and comprehension
core writing skills
number sense and basic operations
Allocate fixed weekly slots only for revision and reinforcement, not new content.
Introduce test repetition for weak students after re-teaching.
Do not treat tests as one-time events.
Use the cycle: teach → practice → test → analyze → re-teach → re-test.
Ensure students only move forward after showing minimum mastery.
Hold short parent meetings or calls to stress the importance of assessments.
Share simple weekly progress updates to build seriousness and consistency.</t>
  </si>
  <si>
    <t>PKS-5</t>
  </si>
  <si>
    <t>PKS -8</t>
  </si>
  <si>
    <t xml:space="preserve">M. Bilal 
Muqadas Imtiaz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</si>
</sst>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_(* \(#,##0\);_(* &quot;-&quot;_);_(@_)"/>
  </numFmts>
  <fonts count="21">
    <font>
      <sz val="11.0"/>
      <color/>
      <name val="Arial"/>
      <scheme val="minor"/>
    </font>
    <font>
      <b/>
      <sz val="14.0"/>
      <color/>
      <name val="Calibri"/>
    </font>
    <font/>
    <font>
      <b/>
      <sz val="11.0"/>
      <color/>
      <name val="Calibri"/>
    </font>
    <font>
      <b/>
      <u/>
      <sz val="14.0"/>
      <color/>
      <name val="Calibri"/>
    </font>
    <font>
      <b/>
      <u/>
      <sz val="14.0"/>
      <color/>
      <name val="Calibri"/>
    </font>
    <font>
      <b/>
      <sz val="11.0"/>
      <color rgb="FFFFFFFF"/>
      <name val="Calibri"/>
    </font>
    <font>
      <b/>
      <u/>
      <sz val="14.0"/>
      <color rgb="FFFFFFFF"/>
      <name val="Calibri"/>
    </font>
    <font>
      <b/>
      <u/>
      <sz val="14.0"/>
      <color rgb="FFFFFFFF"/>
      <name val="Calibri"/>
    </font>
    <font>
      <b/>
      <sz val="12.0"/>
      <color/>
      <name val="Calibri"/>
    </font>
    <font>
      <b/>
      <u/>
      <sz val="12.0"/>
      <color/>
      <name val="Calibri"/>
    </font>
    <font>
      <sz val="11.0"/>
      <color/>
      <name val="Calibri"/>
    </font>
    <font>
      <sz val="12.0"/>
      <color/>
      <name val="Calibri"/>
    </font>
    <font>
      <sz val="10.0"/>
      <color/>
      <name val="Arial"/>
    </font>
    <font>
      <sz val="11.0"/>
      <color rgb="FF0C0C0C"/>
      <name val="Calibri"/>
    </font>
    <font>
      <b/>
      <u/>
      <sz val="12.0"/>
      <color/>
      <name val="Calibri"/>
    </font>
    <font>
      <sz val="9.0"/>
      <color/>
      <name val="Calibri"/>
    </font>
    <font>
      <sz val="10.0"/>
      <color/>
      <name val="Calibri"/>
    </font>
    <font>
      <b/>
      <sz val="8.0"/>
      <color/>
      <name val="Calibri"/>
    </font>
    <font>
      <sz val="8.0"/>
      <color/>
      <name val="Calibri"/>
    </font>
    <font>
      <b/>
      <sz val="10.0"/>
      <color/>
      <name val="Calibri"/>
    </font>
  </fonts>
  <fills count="10">
    <fill>
      <patternFill patternType="none"/>
    </fill>
    <fill>
      <patternFill patternType="lightGray"/>
    </fill>
    <fill>
      <patternFill patternType="solid">
        <fgColor rgb="FFD0CECE"/>
        <bgColor rgb="FFD0CECE"/>
      </patternFill>
    </fill>
    <fill>
      <patternFill patternType="solid">
        <fgColor rgb="FFBDD6EE"/>
        <bgColor rgb="FFBDD6EE"/>
      </patternFill>
    </fill>
    <fill>
      <patternFill patternType="solid">
        <fgColor rgb="FF92D050"/>
        <bgColor rgb="FF92D050"/>
      </patternFill>
    </fill>
    <fill>
      <patternFill patternType="solid">
        <fgColor rgb="FF9CC2E5"/>
        <bgColor rgb="FF9CC2E5"/>
      </patternFill>
    </fill>
    <fill>
      <patternFill patternType="solid">
        <fgColor rgb="FFD8D8D8"/>
        <bgColor rgb="FFD8D8D8"/>
      </patternFill>
    </fill>
    <fill>
      <patternFill patternType="solid">
        <fgColor rgb="FFFFC000"/>
        <bgColor rgb="FFFFC000"/>
      </patternFill>
    </fill>
    <fill>
      <patternFill patternType="solid">
        <fgColor rgb="FFA8D08D"/>
        <bgColor rgb="FFA8D08D"/>
      </patternFill>
    </fill>
    <fill>
      <patternFill patternType="solid">
        <fgColor rgb="FFFFFF00"/>
        <bgColor rgb="FFFFFF00"/>
      </patternFill>
    </fill>
  </fills>
  <borders count="4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right/>
      <top style="thin">
        <color rgb="FF000000"/>
      </top>
      <bottom/>
    </border>
    <border>
      <left style="thin">
        <color rgb="FF000000"/>
      </left>
      <right style="thin">
        <color rgb="FF000000"/>
      </right>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border>
    <border>
      <right style="thin">
        <color rgb="FF000000"/>
      </right>
    </border>
    <border>
      <left/>
      <top/>
    </border>
    <border>
      <top/>
    </border>
    <border>
      <right/>
      <top/>
    </border>
    <border>
      <left/>
    </border>
    <border>
      <right/>
    </border>
    <border>
      <left/>
      <bottom/>
    </border>
    <border>
      <bottom/>
    </border>
    <border>
      <right/>
      <bottom/>
    </border>
    <border>
      <left/>
      <right/>
      <top/>
      <bottom/>
    </border>
    <border>
      <left style="medium">
        <color rgb="FF000000"/>
      </left>
      <top style="medium">
        <color rgb="FF000000"/>
      </top>
      <bottom style="thin">
        <color rgb="FF000000"/>
      </bottom>
    </border>
    <border>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top style="thin">
        <color rgb="FF000000"/>
      </top>
      <bottom style="thin">
        <color rgb="FF000000"/>
      </bottom>
    </border>
  </borders>
  <cellStyleXfs count="1">
    <xf borderId="0" fillId="0" fontId="0" numFmtId="0" applyAlignment="1" applyFont="1"/>
  </cellStyleXfs>
  <cellXfs count="238">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2" numFmtId="0" xfId="0" applyBorder="1" applyFont="1"/>
    <xf borderId="4" fillId="0" fontId="3" numFmtId="0" xfId="0" applyBorder="1" applyFont="1"/>
    <xf borderId="4" fillId="0" fontId="4" numFmtId="0" xfId="0" applyAlignment="1" applyBorder="1" applyFont="1">
      <alignment horizontal="center"/>
    </xf>
    <xf borderId="1" fillId="0" fontId="5" numFmtId="0" xfId="0" applyAlignment="1" applyBorder="1" applyFont="1">
      <alignment horizontal="left"/>
    </xf>
    <xf borderId="1" fillId="0" fontId="3" numFmtId="0" xfId="0" applyAlignment="1" applyBorder="1" applyFont="1">
      <alignment horizontal="center"/>
    </xf>
    <xf borderId="5" fillId="0" fontId="6" numFmtId="0" xfId="0" applyBorder="1" applyFont="1"/>
    <xf borderId="6" fillId="0" fontId="6" numFmtId="0" xfId="0" applyAlignment="1" applyBorder="1" applyFont="1">
      <alignment horizontal="center"/>
    </xf>
    <xf borderId="7" fillId="0" fontId="6" numFmtId="0" xfId="0" applyAlignment="1" applyBorder="1" applyFont="1">
      <alignment horizontal="left"/>
    </xf>
    <xf borderId="7" fillId="0" fontId="7" numFmtId="0" xfId="0" applyAlignment="1" applyBorder="1" applyFont="1">
      <alignment horizontal="center"/>
    </xf>
    <xf borderId="6" fillId="0" fontId="8" numFmtId="0" xfId="0" applyAlignment="1" applyBorder="1" applyFont="1">
      <alignment horizontal="center"/>
    </xf>
    <xf borderId="6" fillId="0" fontId="6" numFmtId="0" xfId="0" applyBorder="1" applyFont="1"/>
    <xf borderId="7" fillId="0" fontId="6" numFmtId="0" xfId="0" applyBorder="1" applyFont="1"/>
    <xf borderId="7" fillId="0" fontId="6" numFmtId="0" xfId="0" applyAlignment="1" applyBorder="1" applyFont="1">
      <alignment horizontal="center"/>
    </xf>
    <xf borderId="5" fillId="0" fontId="6" numFmtId="0" xfId="0" applyAlignment="1" applyBorder="1" applyFont="1">
      <alignment horizontal="center"/>
    </xf>
    <xf borderId="8" fillId="0" fontId="6" numFmtId="0" xfId="0" applyAlignment="1" applyBorder="1" applyFont="1">
      <alignment horizontal="center"/>
    </xf>
    <xf borderId="9" fillId="0" fontId="3" numFmtId="0" xfId="0" applyAlignment="1" applyBorder="1" applyFont="1">
      <alignment horizontal="center" vertical="center"/>
    </xf>
    <xf borderId="10" fillId="0" fontId="3" numFmtId="0" xfId="0" applyAlignment="1" applyBorder="1" applyFont="1">
      <alignment horizontal="center" vertical="center"/>
    </xf>
    <xf borderId="11" fillId="0" fontId="3" numFmtId="0" xfId="0" applyAlignment="1" applyBorder="1" applyFont="1">
      <alignment horizontal="left" vertical="center"/>
    </xf>
    <xf borderId="11" fillId="0" fontId="9" numFmtId="0" xfId="0" applyAlignment="1" applyBorder="1" applyFont="1">
      <alignment horizontal="center" vertical="center"/>
    </xf>
    <xf borderId="10" fillId="0" fontId="9" numFmtId="0" xfId="0" applyAlignment="1" applyBorder="1" applyFont="1">
      <alignment horizontal="center" vertical="center"/>
    </xf>
    <xf borderId="11" fillId="0" fontId="3" numFmtId="0" xfId="0" applyAlignment="1" applyBorder="1" applyFont="1">
      <alignment horizontal="center" vertical="center"/>
    </xf>
    <xf borderId="10" fillId="0" fontId="3" numFmtId="0" xfId="0" applyAlignment="1" applyBorder="1" applyFont="1">
      <alignment vertical="center"/>
    </xf>
    <xf borderId="9" fillId="0" fontId="3" numFmtId="0" xfId="0" applyAlignment="1" applyBorder="1" applyFont="1">
      <alignment vertical="center"/>
    </xf>
    <xf borderId="12" fillId="0" fontId="3" numFmtId="0" xfId="0" applyAlignment="1" applyBorder="1" applyFont="1">
      <alignment horizontal="center" vertical="center"/>
    </xf>
    <xf borderId="4" fillId="0" fontId="3" numFmtId="0" xfId="0" applyAlignment="1" applyBorder="1" applyFont="1">
      <alignment horizontal="center"/>
    </xf>
    <xf borderId="1" fillId="0" fontId="3" numFmtId="0" xfId="0" applyAlignment="1" applyBorder="1" applyFont="1">
      <alignment horizontal="left"/>
    </xf>
    <xf borderId="4" fillId="0" fontId="10" numFmtId="0" xfId="0" applyAlignment="1" applyBorder="1" applyFont="1">
      <alignment horizontal="center"/>
    </xf>
    <xf borderId="3" fillId="0" fontId="3" numFmtId="0" xfId="0" applyBorder="1" applyFont="1"/>
    <xf borderId="1" fillId="0" fontId="3" numFmtId="0" xfId="0" applyBorder="1" applyFont="1"/>
    <xf borderId="4" fillId="0" fontId="11" numFmtId="9" xfId="0" applyAlignment="1" applyBorder="1" applyFont="1" applyNumberFormat="1">
      <alignment horizontal="center" vertical="center"/>
    </xf>
    <xf borderId="3" fillId="0" fontId="3" numFmtId="0" xfId="0" applyAlignment="1" applyBorder="1" applyFont="1">
      <alignment horizontal="center"/>
    </xf>
    <xf borderId="4" fillId="0" fontId="11" numFmtId="0" xfId="0" applyBorder="1" applyFont="1"/>
    <xf borderId="10" fillId="0" fontId="11" numFmtId="0" xfId="0" applyAlignment="1" applyBorder="1" applyFont="1">
      <alignment horizontal="center" vertical="center"/>
    </xf>
    <xf borderId="10" fillId="0" fontId="11" numFmtId="18" xfId="0" applyAlignment="1" applyBorder="1" applyFont="1" applyNumberFormat="1">
      <alignment horizontal="center"/>
    </xf>
    <xf borderId="13" fillId="0" fontId="11" numFmtId="0" xfId="0" applyAlignment="1" applyBorder="1" applyFont="1">
      <alignment horizontal="left"/>
    </xf>
    <xf borderId="11" fillId="0" fontId="11" numFmtId="0" xfId="0" applyAlignment="1" applyBorder="1" applyFont="1">
      <alignment horizontal="center" vertical="center"/>
    </xf>
    <xf borderId="10" fillId="0" fontId="12" numFmtId="0" xfId="0" applyAlignment="1" applyBorder="1" applyFont="1">
      <alignment horizontal="center" vertical="center"/>
    </xf>
    <xf borderId="9" fillId="0" fontId="13" numFmtId="0" xfId="0" applyAlignment="1" applyBorder="1" applyFont="1">
      <alignment horizontal="center" shrinkToFit="0" vertical="center" wrapText="1"/>
    </xf>
    <xf borderId="10" fillId="0" fontId="13" numFmtId="0" xfId="0" applyAlignment="1" applyBorder="1" applyFont="1">
      <alignment horizontal="center" shrinkToFit="0" vertical="center" wrapText="1"/>
    </xf>
    <xf borderId="4" fillId="0" fontId="11" numFmtId="9" xfId="0" applyAlignment="1" applyBorder="1" applyFont="1" applyNumberFormat="1">
      <alignment horizontal="center" vertical="center"/>
    </xf>
    <xf borderId="10" fillId="0" fontId="11" numFmtId="9" xfId="0" applyAlignment="1" applyBorder="1" applyFont="1" applyNumberFormat="1">
      <alignment horizontal="center" vertical="center"/>
    </xf>
    <xf borderId="10" fillId="0" fontId="14" numFmtId="0" xfId="0" applyAlignment="1" applyBorder="1" applyFont="1">
      <alignment horizontal="center" vertical="center"/>
    </xf>
    <xf borderId="10" fillId="0" fontId="11" numFmtId="1" xfId="0" applyAlignment="1" applyBorder="1" applyFont="1" applyNumberFormat="1">
      <alignment horizontal="center" vertical="center"/>
    </xf>
    <xf borderId="4" fillId="2" fontId="11" numFmtId="9" xfId="0" applyAlignment="1" applyBorder="1" applyFill="1" applyFont="1" applyNumberFormat="1">
      <alignment horizontal="center" vertical="center"/>
    </xf>
    <xf borderId="10" fillId="0" fontId="11" numFmtId="164" xfId="0" applyAlignment="1" applyBorder="1" applyFont="1" applyNumberFormat="1">
      <alignment vertical="center"/>
    </xf>
    <xf borderId="1" fillId="0" fontId="11" numFmtId="9" xfId="0" applyAlignment="1" applyBorder="1" applyFont="1" applyNumberFormat="1">
      <alignment horizontal="center" vertical="center"/>
    </xf>
    <xf borderId="4" fillId="0" fontId="11" numFmtId="0" xfId="0" applyAlignment="1" applyBorder="1" applyFont="1">
      <alignment horizontal="center"/>
    </xf>
    <xf borderId="1" fillId="0" fontId="11" numFmtId="0" xfId="0" applyAlignment="1" applyBorder="1" applyFont="1">
      <alignment horizontal="left" vertical="center"/>
    </xf>
    <xf borderId="1" fillId="0" fontId="11" numFmtId="0" xfId="0" applyAlignment="1" applyBorder="1" applyFont="1">
      <alignment horizontal="center" vertical="center"/>
    </xf>
    <xf borderId="4" fillId="0" fontId="12" numFmtId="0" xfId="0" applyAlignment="1" applyBorder="1" applyFont="1">
      <alignment horizontal="center" vertical="center"/>
    </xf>
    <xf borderId="3" fillId="0" fontId="11" numFmtId="0" xfId="0" applyAlignment="1" applyBorder="1" applyFont="1">
      <alignment horizontal="center" vertical="center"/>
    </xf>
    <xf borderId="4" fillId="0" fontId="11" numFmtId="0" xfId="0" applyAlignment="1" applyBorder="1" applyFont="1">
      <alignment horizontal="center" vertical="center"/>
    </xf>
    <xf borderId="4" fillId="0" fontId="11" numFmtId="1" xfId="0" applyAlignment="1" applyBorder="1" applyFont="1" applyNumberFormat="1">
      <alignment horizontal="center" vertical="center"/>
    </xf>
    <xf borderId="4" fillId="0" fontId="13" numFmtId="0" xfId="0" applyAlignment="1" applyBorder="1" applyFont="1">
      <alignment horizontal="center" shrinkToFit="0" vertical="center" wrapText="1"/>
    </xf>
    <xf borderId="4" fillId="0" fontId="11" numFmtId="164" xfId="0" applyAlignment="1" applyBorder="1" applyFont="1" applyNumberFormat="1">
      <alignment vertical="center"/>
    </xf>
    <xf borderId="14" fillId="0" fontId="2" numFmtId="0" xfId="0" applyBorder="1" applyFont="1"/>
    <xf borderId="4" fillId="0" fontId="11" numFmtId="0" xfId="0" applyAlignment="1" applyBorder="1" applyFont="1">
      <alignment horizontal="center"/>
    </xf>
    <xf borderId="15" fillId="0" fontId="11" numFmtId="0" xfId="0" applyAlignment="1" applyBorder="1" applyFont="1">
      <alignment horizontal="left"/>
    </xf>
    <xf borderId="15" fillId="0" fontId="11" numFmtId="0" xfId="0" applyAlignment="1" applyBorder="1" applyFont="1">
      <alignment horizontal="center" vertical="center"/>
    </xf>
    <xf borderId="4" fillId="0" fontId="12" numFmtId="0" xfId="0" applyAlignment="1" applyBorder="1" applyFont="1">
      <alignment horizontal="center" vertical="center"/>
    </xf>
    <xf borderId="16" fillId="0" fontId="11" numFmtId="0" xfId="0" applyAlignment="1" applyBorder="1" applyFont="1">
      <alignment horizontal="center" vertical="center"/>
    </xf>
    <xf borderId="4" fillId="0" fontId="11" numFmtId="0" xfId="0" applyAlignment="1" applyBorder="1" applyFont="1">
      <alignment horizontal="center" vertical="center"/>
    </xf>
    <xf borderId="4" fillId="0" fontId="11" numFmtId="1" xfId="0" applyAlignment="1" applyBorder="1" applyFont="1" applyNumberFormat="1">
      <alignment horizontal="center" vertical="center"/>
    </xf>
    <xf borderId="4" fillId="0" fontId="11" numFmtId="164" xfId="0" applyAlignment="1" applyBorder="1" applyFont="1" applyNumberFormat="1">
      <alignment vertical="center"/>
    </xf>
    <xf borderId="15" fillId="0" fontId="11" numFmtId="9" xfId="0" applyAlignment="1" applyBorder="1" applyFont="1" applyNumberFormat="1">
      <alignment horizontal="center" vertical="center"/>
    </xf>
    <xf borderId="1" fillId="0" fontId="11" numFmtId="0" xfId="0" applyAlignment="1" applyBorder="1" applyFont="1">
      <alignment horizontal="left" shrinkToFit="0" wrapText="1"/>
    </xf>
    <xf borderId="1" fillId="0" fontId="11" numFmtId="0" xfId="0" applyAlignment="1" applyBorder="1" applyFont="1">
      <alignment horizontal="left"/>
    </xf>
    <xf borderId="4" fillId="0" fontId="11" numFmtId="0" xfId="0" applyAlignment="1" applyBorder="1" applyFont="1">
      <alignment vertical="center"/>
    </xf>
    <xf borderId="6" fillId="0" fontId="2" numFmtId="0" xfId="0" applyBorder="1" applyFont="1"/>
    <xf borderId="9" fillId="0" fontId="11" numFmtId="0" xfId="0" applyAlignment="1" applyBorder="1" applyFont="1">
      <alignment horizontal="center" vertical="center"/>
    </xf>
    <xf borderId="14" fillId="0" fontId="11" numFmtId="0" xfId="0" applyAlignment="1" applyBorder="1" applyFont="1">
      <alignment horizontal="center" vertical="center"/>
    </xf>
    <xf borderId="15" fillId="0" fontId="11" numFmtId="0" xfId="0" applyAlignment="1" applyBorder="1" applyFont="1">
      <alignment horizontal="left" vertical="center"/>
    </xf>
    <xf borderId="17" fillId="0" fontId="11" numFmtId="9" xfId="0" applyAlignment="1" applyBorder="1" applyFont="1" applyNumberFormat="1">
      <alignment horizontal="center" vertical="center"/>
    </xf>
    <xf borderId="4" fillId="0" fontId="11" numFmtId="0" xfId="0" applyBorder="1" applyFont="1"/>
    <xf borderId="17" fillId="0" fontId="11" numFmtId="0" xfId="0" applyAlignment="1" applyBorder="1" applyFont="1">
      <alignment horizontal="center" vertical="center"/>
    </xf>
    <xf borderId="4" fillId="0" fontId="11" numFmtId="0" xfId="0" applyAlignment="1" applyBorder="1" applyFont="1">
      <alignment horizontal="left" vertical="center"/>
    </xf>
    <xf borderId="0" fillId="0" fontId="11" numFmtId="0" xfId="0" applyAlignment="1" applyFont="1">
      <alignment horizontal="center" vertical="center"/>
    </xf>
    <xf borderId="6" fillId="0" fontId="3" numFmtId="0" xfId="0" applyAlignment="1" applyBorder="1" applyFont="1">
      <alignment vertical="center"/>
    </xf>
    <xf borderId="6" fillId="0" fontId="11" numFmtId="0" xfId="0" applyAlignment="1" applyBorder="1" applyFont="1">
      <alignment horizontal="left"/>
    </xf>
    <xf borderId="6" fillId="0" fontId="11" numFmtId="0" xfId="0" applyAlignment="1" applyBorder="1" applyFont="1">
      <alignment horizontal="center"/>
    </xf>
    <xf borderId="0" fillId="0" fontId="15" numFmtId="0" xfId="0" applyAlignment="1" applyFont="1">
      <alignment horizontal="center"/>
    </xf>
    <xf borderId="0" fillId="0" fontId="3" numFmtId="0" xfId="0" applyAlignment="1" applyFont="1">
      <alignment horizontal="center"/>
    </xf>
    <xf borderId="0" fillId="0" fontId="3" numFmtId="0" xfId="0" applyAlignment="1" applyFont="1">
      <alignment horizontal="center" vertical="center"/>
    </xf>
    <xf borderId="4" fillId="0" fontId="11" numFmtId="9" xfId="0" applyBorder="1" applyFont="1" applyNumberFormat="1"/>
    <xf borderId="4" fillId="0" fontId="11" numFmtId="0" xfId="0" applyAlignment="1" applyBorder="1" applyFont="1">
      <alignment horizontal="left"/>
    </xf>
    <xf borderId="4" fillId="3" fontId="11" numFmtId="0" xfId="0" applyAlignment="1" applyBorder="1" applyFill="1" applyFont="1">
      <alignment horizontal="center"/>
    </xf>
    <xf borderId="0" fillId="0" fontId="1" numFmtId="0" xfId="0" applyAlignment="1" applyFont="1">
      <alignment horizontal="center" vertical="center"/>
    </xf>
    <xf borderId="0" fillId="0" fontId="11" numFmtId="0" xfId="0" applyAlignment="1" applyFont="1">
      <alignment horizontal="center" shrinkToFit="0" wrapText="1"/>
    </xf>
    <xf borderId="0" fillId="0" fontId="11" numFmtId="0" xfId="0" applyAlignment="1" applyFont="1">
      <alignment horizontal="center"/>
    </xf>
    <xf borderId="4" fillId="4" fontId="11" numFmtId="0" xfId="0" applyAlignment="1" applyBorder="1" applyFill="1" applyFont="1">
      <alignment horizontal="center"/>
    </xf>
    <xf borderId="0" fillId="0" fontId="11" numFmtId="0" xfId="0" applyAlignment="1" applyFont="1">
      <alignment horizontal="center" shrinkToFit="0" vertical="center" wrapText="1"/>
    </xf>
    <xf borderId="4" fillId="0" fontId="11" numFmtId="0" xfId="0" applyAlignment="1" applyBorder="1" applyFont="1">
      <alignment horizontal="center"/>
    </xf>
    <xf borderId="0" fillId="0" fontId="11" numFmtId="9" xfId="0" applyFont="1" applyNumberFormat="1"/>
    <xf borderId="0" fillId="0" fontId="11" numFmtId="0" xfId="0" applyAlignment="1" applyFont="1">
      <alignment horizontal="left"/>
    </xf>
    <xf borderId="4" fillId="0" fontId="9" numFmtId="0" xfId="0" applyAlignment="1" applyBorder="1" applyFont="1">
      <alignment horizontal="center" vertical="center"/>
    </xf>
    <xf borderId="4" fillId="0" fontId="9" numFmtId="0" xfId="0" applyAlignment="1" applyBorder="1" applyFont="1">
      <alignment horizontal="center" shrinkToFit="0" vertical="center" wrapText="1"/>
    </xf>
    <xf borderId="1" fillId="0" fontId="9" numFmtId="0" xfId="0" applyAlignment="1" applyBorder="1" applyFont="1">
      <alignment horizontal="center" vertical="center"/>
    </xf>
    <xf borderId="11" fillId="0" fontId="16" numFmtId="0" xfId="0" applyAlignment="1" applyBorder="1" applyFont="1">
      <alignment horizontal="left" shrinkToFit="0" vertical="top" wrapText="1"/>
    </xf>
    <xf borderId="12" fillId="0" fontId="2" numFmtId="0" xfId="0" applyBorder="1" applyFont="1"/>
    <xf borderId="9" fillId="0" fontId="2" numFmtId="0" xfId="0" applyBorder="1" applyFont="1"/>
    <xf borderId="11" fillId="0" fontId="16" numFmtId="0" xfId="0" applyAlignment="1" applyBorder="1" applyFont="1">
      <alignment horizontal="left" shrinkToFit="0" wrapText="1"/>
    </xf>
    <xf borderId="18" fillId="0" fontId="2" numFmtId="0" xfId="0" applyBorder="1" applyFont="1"/>
    <xf borderId="19" fillId="0" fontId="2" numFmtId="0" xfId="0" applyBorder="1" applyFont="1"/>
    <xf borderId="0" fillId="0" fontId="16" numFmtId="0" xfId="0" applyAlignment="1" applyFont="1">
      <alignment shrinkToFit="0" wrapText="1"/>
    </xf>
    <xf borderId="4" fillId="0" fontId="11" numFmtId="0" xfId="0" applyAlignment="1" applyBorder="1" applyFont="1">
      <alignment horizontal="center" shrinkToFit="0" wrapText="1"/>
    </xf>
    <xf borderId="7" fillId="0" fontId="2" numFmtId="0" xfId="0" applyBorder="1" applyFont="1"/>
    <xf borderId="8" fillId="0" fontId="2" numFmtId="0" xfId="0" applyBorder="1" applyFont="1"/>
    <xf borderId="5" fillId="0" fontId="2" numFmtId="0" xfId="0" applyBorder="1" applyFont="1"/>
    <xf borderId="7" fillId="0" fontId="1" numFmtId="0" xfId="0" applyAlignment="1" applyBorder="1" applyFont="1">
      <alignment horizontal="center" vertical="center"/>
    </xf>
    <xf borderId="2" fillId="0" fontId="3" numFmtId="0" xfId="0" applyAlignment="1" applyBorder="1" applyFont="1">
      <alignment horizontal="center"/>
    </xf>
    <xf borderId="1" fillId="0" fontId="3" numFmtId="9" xfId="0" applyAlignment="1" applyBorder="1" applyFont="1" applyNumberFormat="1">
      <alignment horizontal="center"/>
    </xf>
    <xf borderId="3" fillId="0" fontId="3" numFmtId="9" xfId="0" applyAlignment="1" applyBorder="1" applyFont="1" applyNumberFormat="1">
      <alignment horizontal="center"/>
    </xf>
    <xf borderId="4" fillId="4" fontId="11" numFmtId="9" xfId="0" applyAlignment="1" applyBorder="1" applyFont="1" applyNumberFormat="1">
      <alignment horizontal="center" vertical="center"/>
    </xf>
    <xf borderId="4" fillId="5" fontId="11" numFmtId="9" xfId="0" applyAlignment="1" applyBorder="1" applyFill="1" applyFont="1" applyNumberFormat="1">
      <alignment horizontal="center" vertical="center"/>
    </xf>
    <xf borderId="4" fillId="2" fontId="11" numFmtId="0" xfId="0" applyAlignment="1" applyBorder="1" applyFont="1">
      <alignment horizontal="center"/>
    </xf>
    <xf borderId="1" fillId="0" fontId="11" numFmtId="0" xfId="0" applyAlignment="1" applyBorder="1" applyFont="1">
      <alignment horizontal="center"/>
    </xf>
    <xf borderId="4" fillId="6" fontId="11" numFmtId="0" xfId="0" applyAlignment="1" applyBorder="1" applyFill="1" applyFont="1">
      <alignment horizontal="center"/>
    </xf>
    <xf borderId="4" fillId="0" fontId="11" numFmtId="9" xfId="0" applyAlignment="1" applyBorder="1" applyFont="1" applyNumberFormat="1">
      <alignment horizontal="center" vertical="center"/>
    </xf>
    <xf borderId="4" fillId="7" fontId="11" numFmtId="9" xfId="0" applyAlignment="1" applyBorder="1" applyFill="1" applyFont="1" applyNumberFormat="1">
      <alignment horizontal="center" vertical="center"/>
    </xf>
    <xf borderId="10" fillId="0" fontId="11" numFmtId="0" xfId="0" applyAlignment="1" applyBorder="1" applyFont="1">
      <alignment horizontal="center" vertical="center"/>
    </xf>
    <xf borderId="1" fillId="0" fontId="11" numFmtId="0" xfId="0" applyAlignment="1" applyBorder="1" applyFont="1">
      <alignment horizontal="center"/>
    </xf>
    <xf borderId="12" fillId="0" fontId="11" numFmtId="0" xfId="0" applyAlignment="1" applyBorder="1" applyFont="1">
      <alignment horizontal="center" vertical="center"/>
    </xf>
    <xf borderId="1" fillId="0" fontId="3" numFmtId="0" xfId="0" applyAlignment="1" applyBorder="1" applyFont="1">
      <alignment horizontal="center" vertical="center"/>
    </xf>
    <xf borderId="4" fillId="0" fontId="3" numFmtId="0" xfId="0" applyAlignment="1" applyBorder="1" applyFont="1">
      <alignment horizontal="center" vertical="center"/>
    </xf>
    <xf borderId="0" fillId="0" fontId="1" numFmtId="0" xfId="0" applyAlignment="1" applyFont="1">
      <alignment horizontal="center"/>
    </xf>
    <xf borderId="20" fillId="0" fontId="3" numFmtId="0" xfId="0" applyAlignment="1" applyBorder="1" applyFont="1">
      <alignment horizontal="center" shrinkToFit="0" vertical="center" wrapText="1"/>
    </xf>
    <xf borderId="21" fillId="0" fontId="2" numFmtId="0" xfId="0" applyBorder="1" applyFont="1"/>
    <xf borderId="22" fillId="0" fontId="2" numFmtId="0" xfId="0" applyBorder="1" applyFont="1"/>
    <xf borderId="4" fillId="8" fontId="11" numFmtId="0" xfId="0" applyAlignment="1" applyBorder="1" applyFill="1" applyFont="1">
      <alignment horizontal="center"/>
    </xf>
    <xf borderId="23" fillId="0" fontId="2" numFmtId="0" xfId="0" applyBorder="1" applyFont="1"/>
    <xf borderId="24" fillId="0" fontId="2" numFmtId="0" xfId="0" applyBorder="1" applyFont="1"/>
    <xf borderId="25" fillId="0" fontId="2" numFmtId="0" xfId="0" applyBorder="1" applyFont="1"/>
    <xf borderId="26" fillId="0" fontId="2" numFmtId="0" xfId="0" applyBorder="1" applyFont="1"/>
    <xf borderId="27" fillId="0" fontId="2" numFmtId="0" xfId="0" applyBorder="1" applyFont="1"/>
    <xf borderId="11" fillId="0" fontId="17" numFmtId="0" xfId="0" applyAlignment="1" applyBorder="1" applyFont="1">
      <alignment horizontal="left" shrinkToFit="0" vertical="top" wrapText="1"/>
    </xf>
    <xf borderId="11" fillId="0" fontId="11" numFmtId="0" xfId="0" applyAlignment="1" applyBorder="1" applyFont="1">
      <alignment horizontal="left" shrinkToFit="0" wrapText="1"/>
    </xf>
    <xf borderId="1" fillId="0" fontId="1" numFmtId="0" xfId="0" applyAlignment="1" applyBorder="1" applyFont="1">
      <alignment horizontal="center" vertical="center"/>
    </xf>
    <xf borderId="4" fillId="0" fontId="3" numFmtId="0" xfId="0" applyAlignment="1" applyBorder="1" applyFont="1">
      <alignment horizontal="center" shrinkToFit="0" wrapText="1"/>
    </xf>
    <xf borderId="4" fillId="3" fontId="11" numFmtId="9" xfId="0" applyAlignment="1" applyBorder="1" applyFont="1" applyNumberFormat="1">
      <alignment horizontal="center" vertical="center"/>
    </xf>
    <xf borderId="10" fillId="0" fontId="11" numFmtId="0" xfId="0" applyAlignment="1" applyBorder="1" applyFont="1">
      <alignment vertical="center"/>
    </xf>
    <xf borderId="17" fillId="3" fontId="11" numFmtId="9" xfId="0" applyAlignment="1" applyBorder="1" applyFont="1" applyNumberFormat="1">
      <alignment horizontal="center" vertical="center"/>
    </xf>
    <xf borderId="18" fillId="0" fontId="1" numFmtId="0" xfId="0" applyAlignment="1" applyBorder="1" applyFont="1">
      <alignment horizontal="center"/>
    </xf>
    <xf borderId="0" fillId="0" fontId="9" numFmtId="0" xfId="0" applyAlignment="1" applyFont="1">
      <alignment horizontal="center" vertical="center"/>
    </xf>
    <xf borderId="0" fillId="0" fontId="11" numFmtId="0" xfId="0" applyAlignment="1" applyFont="1">
      <alignment vertical="center"/>
    </xf>
    <xf borderId="3" fillId="0" fontId="9" numFmtId="0" xfId="0" applyAlignment="1" applyBorder="1" applyFont="1">
      <alignment horizontal="center" shrinkToFit="0" vertical="center" wrapText="1"/>
    </xf>
    <xf borderId="0" fillId="0" fontId="11" numFmtId="0" xfId="0" applyAlignment="1" applyFont="1">
      <alignment shrinkToFit="0" wrapText="1"/>
    </xf>
    <xf borderId="1" fillId="0" fontId="11" numFmtId="0" xfId="0" applyAlignment="1" applyBorder="1" applyFont="1">
      <alignment horizontal="left" shrinkToFit="0" vertical="top" wrapText="1"/>
    </xf>
    <xf borderId="1" fillId="0" fontId="11" numFmtId="0" xfId="0" applyAlignment="1" applyBorder="1" applyFont="1">
      <alignment horizontal="left" shrinkToFit="0" vertical="center" wrapText="1"/>
    </xf>
    <xf borderId="28" fillId="0" fontId="11" numFmtId="0" xfId="0" applyBorder="1" applyFont="1"/>
    <xf borderId="4" fillId="0" fontId="11" numFmtId="0" xfId="0" applyAlignment="1" applyBorder="1" applyFont="1">
      <alignment horizontal="center" shrinkToFit="0" vertical="center" wrapText="1"/>
    </xf>
    <xf borderId="11" fillId="0" fontId="1" numFmtId="0" xfId="0" applyAlignment="1" applyBorder="1" applyFont="1">
      <alignment horizontal="center" vertical="center"/>
    </xf>
    <xf borderId="29" fillId="0" fontId="3" numFmtId="0" xfId="0" applyAlignment="1" applyBorder="1" applyFont="1">
      <alignment horizontal="center"/>
    </xf>
    <xf borderId="30" fillId="0" fontId="2" numFmtId="0" xfId="0" applyBorder="1" applyFont="1"/>
    <xf borderId="31" fillId="0" fontId="3" numFmtId="0" xfId="0" applyAlignment="1" applyBorder="1" applyFont="1">
      <alignment horizontal="center"/>
    </xf>
    <xf borderId="32" fillId="0" fontId="2" numFmtId="0" xfId="0" applyBorder="1" applyFont="1"/>
    <xf borderId="33" fillId="0" fontId="2" numFmtId="0" xfId="0" applyBorder="1" applyFont="1"/>
    <xf borderId="34" fillId="0" fontId="3" numFmtId="0" xfId="0" applyBorder="1" applyFont="1"/>
    <xf borderId="35" fillId="0" fontId="2" numFmtId="0" xfId="0" applyBorder="1" applyFont="1"/>
    <xf borderId="35" fillId="0" fontId="3" numFmtId="0" xfId="0" applyAlignment="1" applyBorder="1" applyFont="1">
      <alignment horizontal="center"/>
    </xf>
    <xf borderId="34" fillId="0" fontId="11" numFmtId="0" xfId="0" applyAlignment="1" applyBorder="1" applyFont="1">
      <alignment horizontal="center" vertical="center"/>
    </xf>
    <xf borderId="36" fillId="0" fontId="11" numFmtId="9" xfId="0" applyAlignment="1" applyBorder="1" applyFont="1" applyNumberFormat="1">
      <alignment horizontal="center" vertical="center"/>
    </xf>
    <xf borderId="37" fillId="0" fontId="11" numFmtId="0" xfId="0" applyAlignment="1" applyBorder="1" applyFont="1">
      <alignment horizontal="center" vertical="center"/>
    </xf>
    <xf borderId="38" fillId="0" fontId="2" numFmtId="0" xfId="0" applyBorder="1" applyFont="1"/>
    <xf borderId="34" fillId="0" fontId="11" numFmtId="0" xfId="0" applyAlignment="1" applyBorder="1" applyFont="1">
      <alignment horizontal="center" vertical="center"/>
    </xf>
    <xf borderId="4" fillId="0" fontId="11" numFmtId="0" xfId="0" applyAlignment="1" applyBorder="1" applyFont="1">
      <alignment horizontal="left" vertical="center"/>
    </xf>
    <xf borderId="34" fillId="0" fontId="11" numFmtId="0" xfId="0" applyAlignment="1" applyBorder="1" applyFont="1">
      <alignment horizontal="center"/>
    </xf>
    <xf borderId="39" fillId="0" fontId="11" numFmtId="0" xfId="0" applyAlignment="1" applyBorder="1" applyFont="1">
      <alignment horizontal="center" vertical="center"/>
    </xf>
    <xf borderId="40" fillId="0" fontId="11" numFmtId="0" xfId="0" applyAlignment="1" applyBorder="1" applyFont="1">
      <alignment horizontal="center" vertical="center"/>
    </xf>
    <xf borderId="40" fillId="0" fontId="11" numFmtId="0" xfId="0" applyAlignment="1" applyBorder="1" applyFont="1">
      <alignment horizontal="left" vertical="center"/>
    </xf>
    <xf borderId="40" fillId="0" fontId="11" numFmtId="0" xfId="0" applyAlignment="1" applyBorder="1" applyFont="1">
      <alignment horizontal="center" vertical="center"/>
    </xf>
    <xf borderId="40" fillId="7" fontId="11" numFmtId="9" xfId="0" applyAlignment="1" applyBorder="1" applyFont="1" applyNumberFormat="1">
      <alignment horizontal="center" vertical="center"/>
    </xf>
    <xf borderId="40" fillId="0" fontId="11" numFmtId="9" xfId="0" applyAlignment="1" applyBorder="1" applyFont="1" applyNumberFormat="1">
      <alignment horizontal="center" vertical="center"/>
    </xf>
    <xf borderId="40" fillId="0" fontId="11" numFmtId="9" xfId="0" applyAlignment="1" applyBorder="1" applyFont="1" applyNumberFormat="1">
      <alignment horizontal="center" vertical="center"/>
    </xf>
    <xf borderId="40" fillId="0" fontId="11" numFmtId="9" xfId="0" applyAlignment="1" applyBorder="1" applyFont="1" applyNumberFormat="1">
      <alignment horizontal="center" vertical="center"/>
    </xf>
    <xf borderId="41" fillId="0" fontId="11" numFmtId="9" xfId="0" applyAlignment="1" applyBorder="1" applyFont="1" applyNumberFormat="1">
      <alignment horizontal="center" vertical="center"/>
    </xf>
    <xf borderId="4" fillId="0" fontId="3" numFmtId="0" xfId="0" applyAlignment="1" applyBorder="1" applyFont="1">
      <alignment vertical="center"/>
    </xf>
    <xf borderId="0" fillId="0" fontId="9" numFmtId="0" xfId="0" applyAlignment="1" applyFont="1">
      <alignment horizontal="center"/>
    </xf>
    <xf borderId="1" fillId="0" fontId="3"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4" fillId="0" fontId="17" numFmtId="0" xfId="0" applyBorder="1" applyFont="1"/>
    <xf borderId="4" fillId="0" fontId="17" numFmtId="0" xfId="0" applyAlignment="1" applyBorder="1" applyFont="1">
      <alignment horizontal="center"/>
    </xf>
    <xf borderId="1" fillId="0" fontId="17" numFmtId="0" xfId="0" applyAlignment="1" applyBorder="1" applyFont="1">
      <alignment horizontal="center"/>
    </xf>
    <xf borderId="1" fillId="0" fontId="18" numFmtId="0" xfId="0" applyAlignment="1" applyBorder="1" applyFont="1">
      <alignment horizontal="left" shrinkToFit="0" wrapText="1"/>
    </xf>
    <xf borderId="1" fillId="0" fontId="18" numFmtId="0" xfId="0" applyAlignment="1" applyBorder="1" applyFont="1">
      <alignment horizontal="left" shrinkToFit="0" vertical="top" wrapText="1"/>
    </xf>
    <xf borderId="0" fillId="0" fontId="11" numFmtId="0" xfId="0" applyFont="1"/>
    <xf borderId="0" fillId="0" fontId="19" numFmtId="0" xfId="0" applyAlignment="1" applyFont="1">
      <alignment horizontal="center"/>
    </xf>
    <xf borderId="0" fillId="0" fontId="19" numFmtId="0" xfId="0" applyFont="1"/>
    <xf borderId="0" fillId="0" fontId="18" numFmtId="0" xfId="0" applyAlignment="1" applyFont="1">
      <alignment horizontal="center"/>
    </xf>
    <xf borderId="0" fillId="0" fontId="9" numFmtId="0" xfId="0" applyFont="1"/>
    <xf borderId="10" fillId="0" fontId="3" numFmtId="0" xfId="0" applyAlignment="1" applyBorder="1" applyFont="1">
      <alignment horizontal="center" vertical="center"/>
    </xf>
    <xf borderId="4" fillId="3" fontId="11" numFmtId="0" xfId="0" applyBorder="1" applyFont="1"/>
    <xf borderId="4" fillId="8" fontId="11" numFmtId="0" xfId="0" applyBorder="1" applyFont="1"/>
    <xf borderId="4" fillId="0" fontId="11" numFmtId="0" xfId="0" applyBorder="1" applyFont="1"/>
    <xf borderId="1" fillId="0" fontId="16" numFmtId="0" xfId="0" applyAlignment="1" applyBorder="1" applyFont="1">
      <alignment horizontal="center" shrinkToFit="0" wrapText="1"/>
    </xf>
    <xf borderId="1" fillId="0" fontId="16" numFmtId="0" xfId="0" applyAlignment="1" applyBorder="1" applyFont="1">
      <alignment horizontal="left" shrinkToFit="0" vertical="center" wrapText="1"/>
    </xf>
    <xf borderId="1" fillId="0" fontId="11" numFmtId="0" xfId="0" applyAlignment="1" applyBorder="1" applyFont="1">
      <alignment horizontal="center" vertical="center"/>
    </xf>
    <xf borderId="42" fillId="0" fontId="2" numFmtId="0" xfId="0" applyBorder="1" applyFont="1"/>
    <xf borderId="7" fillId="0" fontId="3" numFmtId="0" xfId="0" applyAlignment="1" applyBorder="1" applyFont="1">
      <alignment horizontal="center" vertical="center"/>
    </xf>
    <xf borderId="6" fillId="0" fontId="3" numFmtId="0" xfId="0" applyAlignment="1" applyBorder="1" applyFont="1">
      <alignment horizontal="center" vertical="center"/>
    </xf>
    <xf borderId="4" fillId="0" fontId="11" numFmtId="0" xfId="0" applyAlignment="1" applyBorder="1" applyFont="1">
      <alignment shrinkToFit="0" wrapText="1"/>
    </xf>
    <xf borderId="1" fillId="0" fontId="16" numFmtId="0" xfId="0" applyAlignment="1" applyBorder="1" applyFont="1">
      <alignment horizontal="left" shrinkToFit="0" wrapText="1"/>
    </xf>
    <xf borderId="11" fillId="0" fontId="16" numFmtId="0" xfId="0" applyAlignment="1" applyBorder="1" applyFont="1">
      <alignment horizontal="center" shrinkToFit="0" vertical="center" wrapText="1"/>
    </xf>
    <xf borderId="4" fillId="0" fontId="11" numFmtId="0" xfId="0" applyAlignment="1" applyBorder="1" applyFont="1">
      <alignment horizontal="left" shrinkToFit="0" wrapText="1"/>
    </xf>
    <xf borderId="4" fillId="0" fontId="11" numFmtId="0" xfId="0" applyAlignment="1" applyBorder="1" applyFont="1">
      <alignment horizontal="center" shrinkToFit="0" vertical="top" wrapText="1"/>
    </xf>
    <xf borderId="1" fillId="0" fontId="16" numFmtId="0" xfId="0" applyAlignment="1" applyBorder="1" applyFont="1">
      <alignment shrinkToFit="0" wrapText="1"/>
    </xf>
    <xf borderId="11" fillId="0" fontId="20" numFmtId="0" xfId="0" applyAlignment="1" applyBorder="1" applyFont="1">
      <alignment horizontal="center" vertical="center"/>
    </xf>
    <xf borderId="0" fillId="0" fontId="17" numFmtId="0" xfId="0" applyFont="1"/>
    <xf borderId="1" fillId="0" fontId="20" numFmtId="0" xfId="0" applyAlignment="1" applyBorder="1" applyFont="1">
      <alignment horizontal="center"/>
    </xf>
    <xf borderId="4" fillId="0" fontId="20" numFmtId="0" xfId="0" applyBorder="1" applyFont="1"/>
    <xf borderId="4" fillId="0" fontId="20" numFmtId="0" xfId="0" applyAlignment="1" applyBorder="1" applyFont="1">
      <alignment horizontal="center"/>
    </xf>
    <xf borderId="1" fillId="9" fontId="17" numFmtId="0" xfId="0" applyAlignment="1" applyBorder="1" applyFill="1" applyFont="1">
      <alignment horizontal="center" vertical="center"/>
    </xf>
    <xf borderId="4" fillId="0" fontId="17" numFmtId="0" xfId="0" applyAlignment="1" applyBorder="1" applyFont="1">
      <alignment horizontal="center" vertical="center"/>
    </xf>
    <xf borderId="4" fillId="0" fontId="17" numFmtId="0" xfId="0" applyAlignment="1" applyBorder="1" applyFont="1">
      <alignment horizontal="center" vertical="center"/>
    </xf>
    <xf borderId="4" fillId="7" fontId="17" numFmtId="9" xfId="0" applyAlignment="1" applyBorder="1" applyFont="1" applyNumberFormat="1">
      <alignment horizontal="center" vertical="center"/>
    </xf>
    <xf borderId="4" fillId="0" fontId="17" numFmtId="9" xfId="0" applyAlignment="1" applyBorder="1" applyFont="1" applyNumberFormat="1">
      <alignment horizontal="center" vertical="center"/>
    </xf>
    <xf borderId="4" fillId="0" fontId="17" numFmtId="0" xfId="0" applyAlignment="1" applyBorder="1" applyFont="1">
      <alignment horizontal="center"/>
    </xf>
    <xf borderId="4" fillId="0" fontId="17" numFmtId="9" xfId="0" applyAlignment="1" applyBorder="1" applyFont="1" applyNumberFormat="1">
      <alignment horizontal="center" vertical="center"/>
    </xf>
    <xf borderId="4" fillId="0" fontId="17" numFmtId="0" xfId="0" applyAlignment="1" applyBorder="1" applyFont="1">
      <alignment vertical="center"/>
    </xf>
    <xf borderId="10" fillId="0" fontId="17" numFmtId="0" xfId="0" applyAlignment="1" applyBorder="1" applyFont="1">
      <alignment horizontal="center" vertical="center"/>
    </xf>
    <xf borderId="7" fillId="0" fontId="20" numFmtId="0" xfId="0" applyAlignment="1" applyBorder="1" applyFont="1">
      <alignment horizontal="center" vertical="center"/>
    </xf>
    <xf borderId="6" fillId="0" fontId="20" numFmtId="0" xfId="0" applyAlignment="1" applyBorder="1" applyFont="1">
      <alignment vertical="center"/>
    </xf>
    <xf borderId="6" fillId="0" fontId="17" numFmtId="0" xfId="0" applyAlignment="1" applyBorder="1" applyFont="1">
      <alignment horizontal="center"/>
    </xf>
    <xf borderId="0" fillId="0" fontId="20" numFmtId="0" xfId="0" applyAlignment="1" applyFont="1">
      <alignment horizontal="center"/>
    </xf>
    <xf borderId="0" fillId="0" fontId="20" numFmtId="0" xfId="0" applyAlignment="1" applyFont="1">
      <alignment horizontal="center" vertical="center"/>
    </xf>
    <xf borderId="4" fillId="3" fontId="17" numFmtId="0" xfId="0" applyBorder="1" applyFont="1"/>
    <xf borderId="4" fillId="8" fontId="17" numFmtId="0" xfId="0" applyBorder="1" applyFont="1"/>
    <xf borderId="0" fillId="0" fontId="17" numFmtId="0" xfId="0" applyAlignment="1" applyFont="1">
      <alignment horizontal="center" shrinkToFit="0" wrapText="1"/>
    </xf>
    <xf borderId="0" fillId="0" fontId="17" numFmtId="0" xfId="0" applyAlignment="1" applyFont="1">
      <alignment horizontal="center"/>
    </xf>
    <xf borderId="4" fillId="0" fontId="17" numFmtId="0" xfId="0" applyBorder="1" applyFont="1"/>
    <xf borderId="0" fillId="0" fontId="17" numFmtId="0" xfId="0" applyAlignment="1" applyFont="1">
      <alignment horizontal="center" vertical="center"/>
    </xf>
    <xf borderId="0" fillId="0" fontId="17" numFmtId="0" xfId="0" applyAlignment="1" applyFont="1">
      <alignment vertical="center"/>
    </xf>
    <xf borderId="0" fillId="0" fontId="17" numFmtId="0" xfId="0" applyAlignment="1" applyFont="1">
      <alignment horizontal="center" shrinkToFit="0" vertical="center" wrapText="1"/>
    </xf>
    <xf borderId="10" fillId="0" fontId="11" numFmtId="0" xfId="0" applyAlignment="1" applyBorder="1" applyFont="1">
      <alignment horizontal="center" shrinkToFit="0" vertical="center" wrapText="1"/>
    </xf>
    <xf borderId="11" fillId="0" fontId="16" numFmtId="0" xfId="0" applyAlignment="1" applyBorder="1" applyFont="1">
      <alignment horizontal="left" shrinkToFit="0" vertical="center" wrapText="1"/>
    </xf>
    <xf borderId="4" fillId="0" fontId="17" numFmtId="0" xfId="0" applyAlignment="1" applyBorder="1" applyFont="1">
      <alignment horizontal="center" shrinkToFit="0" wrapText="1"/>
    </xf>
  </cellXfs>
  <cellStyles count="1">
    <cellStyle xfId="0" name="Normal" builtinId="0"/>
  </cellStyles>
  <dxfs count="13">
    <dxf>
      <font/>
      <fill>
        <patternFill patternType="none"/>
      </fill>
      <border/>
    </dxf>
    <dxf>
      <font/>
      <fill>
        <patternFill patternType="none"/>
      </fill>
      <border/>
    </dxf>
    <dxf>
      <font/>
      <fill>
        <patternFill patternType="none"/>
      </fill>
      <border/>
    </dxf>
    <dxf>
      <font/>
      <fill>
        <patternFill patternType="solid">
          <fgColor rgb="FF9CC2E5"/>
          <bgColor rgb="FF9CC2E5"/>
        </patternFill>
      </fill>
      <border/>
    </dxf>
    <dxf>
      <font/>
      <fill>
        <patternFill patternType="solid">
          <fgColor rgb="FFFFC000"/>
          <bgColor rgb="FFFFC000"/>
        </patternFill>
      </fill>
      <border/>
    </dxf>
    <dxf>
      <font/>
      <fill>
        <patternFill patternType="solid">
          <fgColor rgb="FF92D050"/>
          <bgColor rgb="FF92D050"/>
        </patternFill>
      </fill>
      <border/>
    </dxf>
    <dxf>
      <font/>
      <fill>
        <patternFill patternType="solid">
          <fgColor rgb="FFDEEAF6"/>
          <bgColor rgb="FFDEEAF6"/>
        </patternFill>
      </fill>
      <border/>
    </dxf>
    <dxf>
      <font/>
      <fill>
        <patternFill patternType="none"/>
      </fill>
      <border/>
    </dxf>
    <dxf>
      <font>
        <color rgb="FF006100"/>
      </font>
      <fill>
        <patternFill patternType="solid">
          <fgColor rgb="FFC6EFCE"/>
          <bgColor rgb="FFC6EFCE"/>
        </patternFill>
      </fill>
      <border/>
    </dxf>
    <dxf>
      <font/>
      <fill>
        <patternFill patternType="none"/>
      </fill>
      <border/>
    </dxf>
    <dxf>
      <font/>
      <fill>
        <patternFill patternType="solid">
          <fgColor rgb="FFBDD6EE"/>
          <bgColor rgb="FFBDD6EE"/>
        </patternFill>
      </fill>
      <border/>
    </dxf>
    <dxf>
      <font/>
      <fill>
        <patternFill patternType="none"/>
      </fill>
      <border/>
    </dxf>
    <dxf>
      <font/>
      <fill>
        <patternFill patternType="solid">
          <fgColor rgb="FF00B0F0"/>
          <bgColor rgb="FF00B0F0"/>
        </patternFill>
      </fill>
      <border/>
    </dxf>
  </dxfs>
  <tableStyles count="1">
    <tableStyle count="3" pivot="0" name="Class-2-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AB4" displayName="Table_1" name="Table_1" id="1">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Class-2-style" showColumnStripes="0" showFirstColumn="1" showLastColumn="1" showRowStripes="1"/>
</table>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12.57"/>
    <col customWidth="1" min="3" max="3" width="18.14"/>
    <col customWidth="1" min="4" max="4" width="15.43"/>
    <col customWidth="1" min="5" max="5" width="14.43"/>
    <col customWidth="1" min="6" max="7" width="11.57"/>
    <col customWidth="1" min="8" max="8" width="15.43"/>
    <col customWidth="1" min="9" max="9" width="11.14"/>
    <col customWidth="1" min="10" max="13" width="12.0"/>
    <col customWidth="1" min="14" max="14" width="15.14"/>
    <col customWidth="1" min="15" max="19" width="12.0"/>
    <col customWidth="1" min="20" max="20" width="15.14"/>
    <col customWidth="1" min="21" max="25" width="12.0"/>
    <col customWidth="1" min="26" max="26" width="16.86"/>
    <col customWidth="1" min="27" max="28" width="12.0"/>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c r="AA1" s="2"/>
      <c r="AB1" s="3"/>
    </row>
    <row r="2" ht="16.5" customHeight="1">
      <c r="A2" s="4"/>
      <c r="B2" s="5"/>
      <c r="C2" s="6"/>
      <c r="D2" s="7" t="s">
        <v>1</v>
      </c>
      <c r="E2" s="2"/>
      <c r="F2" s="2"/>
      <c r="G2" s="2"/>
      <c r="H2" s="2"/>
      <c r="I2" s="2"/>
      <c r="J2" s="3"/>
      <c r="K2" s="7" t="s">
        <v>2</v>
      </c>
      <c r="L2" s="2"/>
      <c r="M2" s="2"/>
      <c r="N2" s="2"/>
      <c r="O2" s="2"/>
      <c r="P2" s="3"/>
      <c r="Q2" s="7" t="s">
        <v>3</v>
      </c>
      <c r="R2" s="2"/>
      <c r="S2" s="2"/>
      <c r="T2" s="2"/>
      <c r="U2" s="2"/>
      <c r="V2" s="3"/>
      <c r="W2" s="7" t="s">
        <v>4</v>
      </c>
      <c r="X2" s="2"/>
      <c r="Y2" s="2"/>
      <c r="Z2" s="2"/>
      <c r="AA2" s="2"/>
      <c r="AB2" s="2"/>
    </row>
    <row r="3" ht="15.0" customHeight="1">
      <c r="A3" s="8" t="s">
        <v>5</v>
      </c>
      <c r="B3" s="9" t="s">
        <v>6</v>
      </c>
      <c r="C3" s="10" t="s">
        <v>7</v>
      </c>
      <c r="D3" s="11" t="s">
        <v>8</v>
      </c>
      <c r="E3" s="12" t="s">
        <v>9</v>
      </c>
      <c r="F3" s="8" t="s">
        <v>10</v>
      </c>
      <c r="G3" s="13" t="s">
        <v>11</v>
      </c>
      <c r="H3" s="14" t="s">
        <v>12</v>
      </c>
      <c r="I3" s="13" t="s">
        <v>13</v>
      </c>
      <c r="J3" s="13" t="s">
        <v>14</v>
      </c>
      <c r="K3" s="9" t="s">
        <v>15</v>
      </c>
      <c r="L3" s="13" t="s">
        <v>16</v>
      </c>
      <c r="M3" s="13" t="s">
        <v>17</v>
      </c>
      <c r="N3" s="14" t="s">
        <v>18</v>
      </c>
      <c r="O3" s="15" t="s">
        <v>19</v>
      </c>
      <c r="P3" s="16" t="s">
        <v>20</v>
      </c>
      <c r="Q3" s="13" t="s">
        <v>21</v>
      </c>
      <c r="R3" s="13" t="s">
        <v>22</v>
      </c>
      <c r="S3" s="13" t="s">
        <v>23</v>
      </c>
      <c r="T3" s="14" t="s">
        <v>24</v>
      </c>
      <c r="U3" s="15" t="s">
        <v>25</v>
      </c>
      <c r="V3" s="16" t="s">
        <v>26</v>
      </c>
      <c r="W3" s="8" t="s">
        <v>27</v>
      </c>
      <c r="X3" s="13" t="s">
        <v>28</v>
      </c>
      <c r="Y3" s="13" t="s">
        <v>29</v>
      </c>
      <c r="Z3" s="14" t="s">
        <v>30</v>
      </c>
      <c r="AA3" s="15" t="s">
        <v>31</v>
      </c>
      <c r="AB3" s="17" t="s">
        <v>32</v>
      </c>
    </row>
    <row r="4" ht="15.0" customHeight="1">
      <c r="A4" s="18" t="s">
        <v>33</v>
      </c>
      <c r="B4" s="19" t="s">
        <v>34</v>
      </c>
      <c r="C4" s="20" t="s">
        <v>35</v>
      </c>
      <c r="D4" s="21" t="s">
        <v>36</v>
      </c>
      <c r="E4" s="22" t="s">
        <v>37</v>
      </c>
      <c r="F4" s="18" t="s">
        <v>38</v>
      </c>
      <c r="G4" s="19" t="s">
        <v>39</v>
      </c>
      <c r="H4" s="23" t="s">
        <v>40</v>
      </c>
      <c r="I4" s="19" t="s">
        <v>41</v>
      </c>
      <c r="J4" s="19"/>
      <c r="K4" s="19" t="s">
        <v>37</v>
      </c>
      <c r="L4" s="19" t="s">
        <v>38</v>
      </c>
      <c r="M4" s="19" t="s">
        <v>39</v>
      </c>
      <c r="N4" s="23" t="s">
        <v>40</v>
      </c>
      <c r="O4" s="23" t="s">
        <v>41</v>
      </c>
      <c r="P4" s="18"/>
      <c r="Q4" s="24" t="s">
        <v>37</v>
      </c>
      <c r="R4" s="19" t="s">
        <v>38</v>
      </c>
      <c r="S4" s="19" t="s">
        <v>39</v>
      </c>
      <c r="T4" s="23" t="s">
        <v>40</v>
      </c>
      <c r="U4" s="23" t="s">
        <v>41</v>
      </c>
      <c r="V4" s="18"/>
      <c r="W4" s="25" t="s">
        <v>37</v>
      </c>
      <c r="X4" s="19" t="s">
        <v>38</v>
      </c>
      <c r="Y4" s="19" t="s">
        <v>39</v>
      </c>
      <c r="Z4" s="23" t="s">
        <v>40</v>
      </c>
      <c r="AA4" s="23" t="s">
        <v>41</v>
      </c>
      <c r="AB4" s="26"/>
    </row>
    <row r="5" ht="12.0" customHeight="1">
      <c r="A5" s="4"/>
      <c r="B5" s="27"/>
      <c r="C5" s="28"/>
      <c r="D5" s="7"/>
      <c r="E5" s="29"/>
      <c r="F5" s="30"/>
      <c r="G5" s="4"/>
      <c r="H5" s="31"/>
      <c r="I5" s="32" t="s">
        <v>38</v>
      </c>
      <c r="J5" s="27" t="s">
        <v>42</v>
      </c>
      <c r="K5" s="33"/>
      <c r="L5" s="4"/>
      <c r="M5" s="4"/>
      <c r="N5" s="31"/>
      <c r="O5" s="7" t="s">
        <v>38</v>
      </c>
      <c r="P5" s="33" t="s">
        <v>39</v>
      </c>
      <c r="Q5" s="34"/>
      <c r="R5" s="4"/>
      <c r="S5" s="4"/>
      <c r="T5" s="31"/>
      <c r="U5" s="7" t="s">
        <v>38</v>
      </c>
      <c r="V5" s="33" t="s">
        <v>39</v>
      </c>
      <c r="W5" s="30"/>
      <c r="X5" s="4"/>
      <c r="Y5" s="4"/>
      <c r="Z5" s="31"/>
      <c r="AA5" s="7" t="s">
        <v>38</v>
      </c>
      <c r="AB5" s="27" t="s">
        <v>39</v>
      </c>
    </row>
    <row r="6" ht="15.0" customHeight="1">
      <c r="A6" s="35" t="s">
        <v>43</v>
      </c>
      <c r="B6" s="36" t="s">
        <v>44</v>
      </c>
      <c r="C6" s="37" t="s">
        <v>45</v>
      </c>
      <c r="D6" s="38">
        <v>32.0</v>
      </c>
      <c r="E6" s="39">
        <v>13.0</v>
      </c>
      <c r="F6" s="40">
        <v>16.0</v>
      </c>
      <c r="G6" s="41">
        <v>3.0</v>
      </c>
      <c r="H6" s="35" t="str">
        <f t="shared" ref="H6:H16" si="1">SUM(F6:G6)</f>
        <v>19</v>
      </c>
      <c r="I6" s="42" t="str">
        <f t="shared" ref="I6:I15" si="2">(F6/H6)</f>
        <v>84%</v>
      </c>
      <c r="J6" s="43" t="str">
        <f t="shared" ref="J6:J16" si="3">(G6/H6)</f>
        <v>16%</v>
      </c>
      <c r="K6" s="44">
        <v>8.0</v>
      </c>
      <c r="L6" s="41">
        <v>18.0</v>
      </c>
      <c r="M6" s="41">
        <v>6.0</v>
      </c>
      <c r="N6" s="35" t="str">
        <f t="shared" ref="N6:N16" si="4">SUM(L6:M6)</f>
        <v>24</v>
      </c>
      <c r="O6" s="32" t="str">
        <f t="shared" ref="O6:O16" si="5">(L6/N6)</f>
        <v>75%</v>
      </c>
      <c r="P6" s="43" t="str">
        <f t="shared" ref="P6:P16" si="6">(M6/N6)</f>
        <v>25%</v>
      </c>
      <c r="Q6" s="45">
        <v>10.0</v>
      </c>
      <c r="R6" s="35">
        <v>13.0</v>
      </c>
      <c r="S6" s="35">
        <v>9.0</v>
      </c>
      <c r="T6" s="35" t="str">
        <f t="shared" ref="T6:T16" si="7">SUM(R6:S6)</f>
        <v>22</v>
      </c>
      <c r="U6" s="46" t="str">
        <f t="shared" ref="U6:U16" si="8">(R6/T6)</f>
        <v>59%</v>
      </c>
      <c r="V6" s="43" t="str">
        <f t="shared" ref="V6:V16" si="9">(S6/T6)</f>
        <v>41%</v>
      </c>
      <c r="W6" s="47">
        <v>13.0</v>
      </c>
      <c r="X6" s="35">
        <v>10.0</v>
      </c>
      <c r="Y6" s="35">
        <v>9.0</v>
      </c>
      <c r="Z6" s="35" t="str">
        <f t="shared" ref="Z6:Z16" si="10">SUM(X6:Y6)</f>
        <v>19</v>
      </c>
      <c r="AA6" s="48" t="str">
        <f t="shared" ref="AA6:AA16" si="11">(X6/Z6)</f>
        <v>53%</v>
      </c>
      <c r="AB6" s="32" t="str">
        <f t="shared" ref="AB6:AB16" si="12">(Y6/Z6)</f>
        <v>47%</v>
      </c>
    </row>
    <row r="7" ht="15.0" customHeight="1">
      <c r="A7" s="35" t="s">
        <v>46</v>
      </c>
      <c r="B7" s="49" t="s">
        <v>44</v>
      </c>
      <c r="C7" s="50" t="s">
        <v>47</v>
      </c>
      <c r="D7" s="51">
        <v>38.0</v>
      </c>
      <c r="E7" s="52">
        <v>2.0</v>
      </c>
      <c r="F7" s="53">
        <v>34.0</v>
      </c>
      <c r="G7" s="54">
        <v>2.0</v>
      </c>
      <c r="H7" s="35" t="str">
        <f t="shared" si="1"/>
        <v>36</v>
      </c>
      <c r="I7" s="32" t="str">
        <f t="shared" si="2"/>
        <v>94%</v>
      </c>
      <c r="J7" s="32" t="str">
        <f t="shared" si="3"/>
        <v>6%</v>
      </c>
      <c r="K7" s="54">
        <v>1.0</v>
      </c>
      <c r="L7" s="54">
        <v>36.0</v>
      </c>
      <c r="M7" s="54">
        <v>1.0</v>
      </c>
      <c r="N7" s="35" t="str">
        <f t="shared" si="4"/>
        <v>37</v>
      </c>
      <c r="O7" s="32" t="str">
        <f t="shared" si="5"/>
        <v>97%</v>
      </c>
      <c r="P7" s="32" t="str">
        <f t="shared" si="6"/>
        <v>3%</v>
      </c>
      <c r="Q7" s="55">
        <v>2.0</v>
      </c>
      <c r="R7" s="54">
        <v>33.0</v>
      </c>
      <c r="S7" s="56">
        <v>3.0</v>
      </c>
      <c r="T7" s="35" t="str">
        <f t="shared" si="7"/>
        <v>36</v>
      </c>
      <c r="U7" s="46" t="str">
        <f t="shared" si="8"/>
        <v>92%</v>
      </c>
      <c r="V7" s="32" t="str">
        <f t="shared" si="9"/>
        <v>8%</v>
      </c>
      <c r="W7" s="57">
        <v>2.0</v>
      </c>
      <c r="X7" s="56">
        <v>37.0</v>
      </c>
      <c r="Y7" s="56">
        <v>0.0</v>
      </c>
      <c r="Z7" s="35" t="str">
        <f t="shared" si="10"/>
        <v>37</v>
      </c>
      <c r="AA7" s="48" t="str">
        <f t="shared" si="11"/>
        <v>100%</v>
      </c>
      <c r="AB7" s="32" t="str">
        <f t="shared" si="12"/>
        <v>0%</v>
      </c>
    </row>
    <row r="8" ht="15.0" customHeight="1">
      <c r="A8" s="58"/>
      <c r="B8" s="59" t="s">
        <v>48</v>
      </c>
      <c r="C8" s="60" t="s">
        <v>49</v>
      </c>
      <c r="D8" s="61">
        <v>37.0</v>
      </c>
      <c r="E8" s="62">
        <v>1.0</v>
      </c>
      <c r="F8" s="63">
        <v>26.0</v>
      </c>
      <c r="G8" s="64">
        <v>10.0</v>
      </c>
      <c r="H8" s="35" t="str">
        <f t="shared" si="1"/>
        <v>36</v>
      </c>
      <c r="I8" s="32" t="str">
        <f t="shared" si="2"/>
        <v>72%</v>
      </c>
      <c r="J8" s="42" t="str">
        <f t="shared" si="3"/>
        <v>28%</v>
      </c>
      <c r="K8" s="64">
        <v>0.0</v>
      </c>
      <c r="L8" s="64">
        <v>32.0</v>
      </c>
      <c r="M8" s="64">
        <v>5.0</v>
      </c>
      <c r="N8" s="35" t="str">
        <f t="shared" si="4"/>
        <v>37</v>
      </c>
      <c r="O8" s="42" t="str">
        <f t="shared" si="5"/>
        <v>86%</v>
      </c>
      <c r="P8" s="42" t="str">
        <f t="shared" si="6"/>
        <v>14%</v>
      </c>
      <c r="Q8" s="65">
        <v>2.0</v>
      </c>
      <c r="R8" s="64">
        <v>29.0</v>
      </c>
      <c r="S8" s="64">
        <v>6.0</v>
      </c>
      <c r="T8" s="35" t="str">
        <f t="shared" si="7"/>
        <v>35</v>
      </c>
      <c r="U8" s="42" t="str">
        <f t="shared" si="8"/>
        <v>83%</v>
      </c>
      <c r="V8" s="42" t="str">
        <f t="shared" si="9"/>
        <v>17%</v>
      </c>
      <c r="W8" s="66">
        <v>3.0</v>
      </c>
      <c r="X8" s="64">
        <v>29.0</v>
      </c>
      <c r="Y8" s="64">
        <v>5.0</v>
      </c>
      <c r="Z8" s="35" t="str">
        <f t="shared" si="10"/>
        <v>34</v>
      </c>
      <c r="AA8" s="67" t="str">
        <f t="shared" si="11"/>
        <v>85%</v>
      </c>
      <c r="AB8" s="42" t="str">
        <f t="shared" si="12"/>
        <v>15%</v>
      </c>
    </row>
    <row r="9" ht="16.5" customHeight="1">
      <c r="A9" s="54" t="s">
        <v>50</v>
      </c>
      <c r="B9" s="49" t="s">
        <v>44</v>
      </c>
      <c r="C9" s="68" t="s">
        <v>51</v>
      </c>
      <c r="D9" s="51">
        <v>25.0</v>
      </c>
      <c r="E9" s="52">
        <v>2.0</v>
      </c>
      <c r="F9" s="53">
        <v>22.0</v>
      </c>
      <c r="G9" s="54">
        <v>1.0</v>
      </c>
      <c r="H9" s="35" t="str">
        <f t="shared" si="1"/>
        <v>23</v>
      </c>
      <c r="I9" s="32" t="str">
        <f t="shared" si="2"/>
        <v>96%</v>
      </c>
      <c r="J9" s="32" t="str">
        <f t="shared" si="3"/>
        <v>4%</v>
      </c>
      <c r="K9" s="54">
        <v>2.0</v>
      </c>
      <c r="L9" s="54">
        <v>18.0</v>
      </c>
      <c r="M9" s="54">
        <v>5.0</v>
      </c>
      <c r="N9" s="35" t="str">
        <f t="shared" si="4"/>
        <v>23</v>
      </c>
      <c r="O9" s="32" t="str">
        <f t="shared" si="5"/>
        <v>78%</v>
      </c>
      <c r="P9" s="32" t="str">
        <f t="shared" si="6"/>
        <v>22%</v>
      </c>
      <c r="Q9" s="55">
        <v>4.0</v>
      </c>
      <c r="R9" s="54">
        <v>17.0</v>
      </c>
      <c r="S9" s="54">
        <v>4.0</v>
      </c>
      <c r="T9" s="35" t="str">
        <f t="shared" si="7"/>
        <v>21</v>
      </c>
      <c r="U9" s="46" t="str">
        <f t="shared" si="8"/>
        <v>81%</v>
      </c>
      <c r="V9" s="32" t="str">
        <f t="shared" si="9"/>
        <v>19%</v>
      </c>
      <c r="W9" s="57">
        <v>2.0</v>
      </c>
      <c r="X9" s="54">
        <v>22.0</v>
      </c>
      <c r="Y9" s="54">
        <v>1.0</v>
      </c>
      <c r="Z9" s="35" t="str">
        <f t="shared" si="10"/>
        <v>23</v>
      </c>
      <c r="AA9" s="48" t="str">
        <f t="shared" si="11"/>
        <v>96%</v>
      </c>
      <c r="AB9" s="32" t="str">
        <f t="shared" si="12"/>
        <v>4%</v>
      </c>
    </row>
    <row r="10" ht="15.0" customHeight="1">
      <c r="A10" s="35" t="s">
        <v>52</v>
      </c>
      <c r="B10" s="49" t="s">
        <v>44</v>
      </c>
      <c r="C10" s="69" t="s">
        <v>53</v>
      </c>
      <c r="D10" s="51">
        <v>30.0</v>
      </c>
      <c r="E10" s="52">
        <v>0.0</v>
      </c>
      <c r="F10" s="53">
        <v>28.0</v>
      </c>
      <c r="G10" s="54">
        <v>1.0</v>
      </c>
      <c r="H10" s="35" t="str">
        <f t="shared" si="1"/>
        <v>29</v>
      </c>
      <c r="I10" s="32" t="str">
        <f t="shared" si="2"/>
        <v>97%</v>
      </c>
      <c r="J10" s="32" t="str">
        <f t="shared" si="3"/>
        <v>3%</v>
      </c>
      <c r="K10" s="54">
        <v>0.0</v>
      </c>
      <c r="L10" s="54">
        <v>27.0</v>
      </c>
      <c r="M10" s="54">
        <v>2.0</v>
      </c>
      <c r="N10" s="35" t="str">
        <f t="shared" si="4"/>
        <v>29</v>
      </c>
      <c r="O10" s="32" t="str">
        <f t="shared" si="5"/>
        <v>93%</v>
      </c>
      <c r="P10" s="32" t="str">
        <f t="shared" si="6"/>
        <v>7%</v>
      </c>
      <c r="Q10" s="55">
        <v>0.0</v>
      </c>
      <c r="R10" s="54">
        <v>27.0</v>
      </c>
      <c r="S10" s="54">
        <v>2.0</v>
      </c>
      <c r="T10" s="35" t="str">
        <f t="shared" si="7"/>
        <v>29</v>
      </c>
      <c r="U10" s="46" t="str">
        <f t="shared" si="8"/>
        <v>93%</v>
      </c>
      <c r="V10" s="32" t="str">
        <f t="shared" si="9"/>
        <v>7%</v>
      </c>
      <c r="W10" s="70">
        <v>0.0</v>
      </c>
      <c r="X10" s="54">
        <v>28.0</v>
      </c>
      <c r="Y10" s="54">
        <v>1.0</v>
      </c>
      <c r="Z10" s="35" t="str">
        <f t="shared" si="10"/>
        <v>29</v>
      </c>
      <c r="AA10" s="48" t="str">
        <f t="shared" si="11"/>
        <v>97%</v>
      </c>
      <c r="AB10" s="32" t="str">
        <f t="shared" si="12"/>
        <v>3%</v>
      </c>
    </row>
    <row r="11" ht="15.0" customHeight="1">
      <c r="A11" s="71"/>
      <c r="B11" s="49" t="s">
        <v>48</v>
      </c>
      <c r="C11" s="69" t="s">
        <v>54</v>
      </c>
      <c r="D11" s="38">
        <v>31.0</v>
      </c>
      <c r="E11" s="39">
        <v>1.0</v>
      </c>
      <c r="F11" s="72">
        <v>18.0</v>
      </c>
      <c r="G11" s="35">
        <v>12.0</v>
      </c>
      <c r="H11" s="35" t="str">
        <f t="shared" si="1"/>
        <v>30</v>
      </c>
      <c r="I11" s="32" t="str">
        <f t="shared" si="2"/>
        <v>60%</v>
      </c>
      <c r="J11" s="43" t="str">
        <f t="shared" si="3"/>
        <v>40%</v>
      </c>
      <c r="K11" s="35">
        <v>1.0</v>
      </c>
      <c r="L11" s="35">
        <v>19.0</v>
      </c>
      <c r="M11" s="35">
        <v>11.0</v>
      </c>
      <c r="N11" s="35" t="str">
        <f t="shared" si="4"/>
        <v>30</v>
      </c>
      <c r="O11" s="32" t="str">
        <f t="shared" si="5"/>
        <v>63%</v>
      </c>
      <c r="P11" s="43" t="str">
        <f t="shared" si="6"/>
        <v>37%</v>
      </c>
      <c r="Q11" s="45">
        <v>1.0</v>
      </c>
      <c r="R11" s="35">
        <v>19.0</v>
      </c>
      <c r="S11" s="35">
        <v>11.0</v>
      </c>
      <c r="T11" s="35" t="str">
        <f t="shared" si="7"/>
        <v>30</v>
      </c>
      <c r="U11" s="46" t="str">
        <f t="shared" si="8"/>
        <v>63%</v>
      </c>
      <c r="V11" s="43" t="str">
        <f t="shared" si="9"/>
        <v>37%</v>
      </c>
      <c r="W11" s="34">
        <v>1.0</v>
      </c>
      <c r="X11" s="35">
        <v>19.0</v>
      </c>
      <c r="Y11" s="35">
        <v>11.0</v>
      </c>
      <c r="Z11" s="35" t="str">
        <f t="shared" si="10"/>
        <v>30</v>
      </c>
      <c r="AA11" s="48" t="str">
        <f t="shared" si="11"/>
        <v>63%</v>
      </c>
      <c r="AB11" s="32" t="str">
        <f t="shared" si="12"/>
        <v>37%</v>
      </c>
    </row>
    <row r="12" ht="15.0" customHeight="1">
      <c r="A12" s="73" t="s">
        <v>55</v>
      </c>
      <c r="B12" s="59" t="s">
        <v>44</v>
      </c>
      <c r="C12" s="74" t="s">
        <v>56</v>
      </c>
      <c r="D12" s="64">
        <v>30.0</v>
      </c>
      <c r="E12" s="62">
        <v>0.0</v>
      </c>
      <c r="F12" s="64">
        <v>29.0</v>
      </c>
      <c r="G12" s="64">
        <v>1.0</v>
      </c>
      <c r="H12" s="35" t="str">
        <f t="shared" si="1"/>
        <v>30</v>
      </c>
      <c r="I12" s="42" t="str">
        <f t="shared" si="2"/>
        <v>97%</v>
      </c>
      <c r="J12" s="75" t="str">
        <f t="shared" si="3"/>
        <v>3%</v>
      </c>
      <c r="K12" s="64">
        <v>0.0</v>
      </c>
      <c r="L12" s="64">
        <v>29.0</v>
      </c>
      <c r="M12" s="64">
        <v>1.0</v>
      </c>
      <c r="N12" s="35" t="str">
        <f t="shared" si="4"/>
        <v>30</v>
      </c>
      <c r="O12" s="42" t="str">
        <f t="shared" si="5"/>
        <v>97%</v>
      </c>
      <c r="P12" s="75" t="str">
        <f t="shared" si="6"/>
        <v>3%</v>
      </c>
      <c r="Q12" s="65">
        <v>0.0</v>
      </c>
      <c r="R12" s="64">
        <v>29.0</v>
      </c>
      <c r="S12" s="64">
        <v>1.0</v>
      </c>
      <c r="T12" s="35" t="str">
        <f t="shared" si="7"/>
        <v>30</v>
      </c>
      <c r="U12" s="42" t="str">
        <f t="shared" si="8"/>
        <v>97%</v>
      </c>
      <c r="V12" s="75" t="str">
        <f t="shared" si="9"/>
        <v>3%</v>
      </c>
      <c r="W12" s="76">
        <v>1.0</v>
      </c>
      <c r="X12" s="77">
        <v>27.0</v>
      </c>
      <c r="Y12" s="64">
        <v>1.0</v>
      </c>
      <c r="Z12" s="35" t="str">
        <f t="shared" si="10"/>
        <v>28</v>
      </c>
      <c r="AA12" s="67" t="str">
        <f t="shared" si="11"/>
        <v>96%</v>
      </c>
      <c r="AB12" s="42" t="str">
        <f t="shared" si="12"/>
        <v>4%</v>
      </c>
    </row>
    <row r="13" ht="15.0" customHeight="1">
      <c r="A13" s="58"/>
      <c r="B13" s="59" t="s">
        <v>48</v>
      </c>
      <c r="C13" s="74" t="s">
        <v>56</v>
      </c>
      <c r="D13" s="64">
        <v>26.0</v>
      </c>
      <c r="E13" s="62">
        <v>1.0</v>
      </c>
      <c r="F13" s="64">
        <v>25.0</v>
      </c>
      <c r="G13" s="64">
        <v>0.0</v>
      </c>
      <c r="H13" s="35" t="str">
        <f t="shared" si="1"/>
        <v>25</v>
      </c>
      <c r="I13" s="32" t="str">
        <f t="shared" si="2"/>
        <v>100%</v>
      </c>
      <c r="J13" s="75" t="str">
        <f t="shared" si="3"/>
        <v>0%</v>
      </c>
      <c r="K13" s="64">
        <v>0.0</v>
      </c>
      <c r="L13" s="64">
        <v>25.0</v>
      </c>
      <c r="M13" s="64">
        <v>1.0</v>
      </c>
      <c r="N13" s="35" t="str">
        <f t="shared" si="4"/>
        <v>26</v>
      </c>
      <c r="O13" s="42" t="str">
        <f t="shared" si="5"/>
        <v>96%</v>
      </c>
      <c r="P13" s="75" t="str">
        <f t="shared" si="6"/>
        <v>4%</v>
      </c>
      <c r="Q13" s="65">
        <v>0.0</v>
      </c>
      <c r="R13" s="64">
        <v>23.0</v>
      </c>
      <c r="S13" s="64">
        <v>3.0</v>
      </c>
      <c r="T13" s="35" t="str">
        <f t="shared" si="7"/>
        <v>26</v>
      </c>
      <c r="U13" s="42" t="str">
        <f t="shared" si="8"/>
        <v>88%</v>
      </c>
      <c r="V13" s="75" t="str">
        <f t="shared" si="9"/>
        <v>12%</v>
      </c>
      <c r="W13" s="66">
        <v>0.0</v>
      </c>
      <c r="X13" s="77">
        <v>25.0</v>
      </c>
      <c r="Y13" s="64">
        <v>1.0</v>
      </c>
      <c r="Z13" s="35" t="str">
        <f t="shared" si="10"/>
        <v>26</v>
      </c>
      <c r="AA13" s="67" t="str">
        <f t="shared" si="11"/>
        <v>96%</v>
      </c>
      <c r="AB13" s="42" t="str">
        <f t="shared" si="12"/>
        <v>4%</v>
      </c>
    </row>
    <row r="14" ht="15.0" customHeight="1">
      <c r="A14" s="35" t="s">
        <v>57</v>
      </c>
      <c r="B14" s="49" t="s">
        <v>44</v>
      </c>
      <c r="C14" s="78" t="s">
        <v>58</v>
      </c>
      <c r="D14" s="64">
        <v>28.0</v>
      </c>
      <c r="E14" s="52">
        <v>2.0</v>
      </c>
      <c r="F14" s="54">
        <v>17.0</v>
      </c>
      <c r="G14" s="54">
        <v>9.0</v>
      </c>
      <c r="H14" s="35" t="str">
        <f t="shared" si="1"/>
        <v>26</v>
      </c>
      <c r="I14" s="32" t="str">
        <f t="shared" si="2"/>
        <v>65%</v>
      </c>
      <c r="J14" s="32" t="str">
        <f t="shared" si="3"/>
        <v>35%</v>
      </c>
      <c r="K14" s="54">
        <v>2.0</v>
      </c>
      <c r="L14" s="54">
        <v>22.0</v>
      </c>
      <c r="M14" s="54">
        <v>4.0</v>
      </c>
      <c r="N14" s="35" t="str">
        <f t="shared" si="4"/>
        <v>26</v>
      </c>
      <c r="O14" s="42" t="str">
        <f t="shared" si="5"/>
        <v>85%</v>
      </c>
      <c r="P14" s="32" t="str">
        <f t="shared" si="6"/>
        <v>15%</v>
      </c>
      <c r="Q14" s="55">
        <v>3.0</v>
      </c>
      <c r="R14" s="54">
        <v>19.0</v>
      </c>
      <c r="S14" s="54">
        <v>6.0</v>
      </c>
      <c r="T14" s="35" t="str">
        <f t="shared" si="7"/>
        <v>25</v>
      </c>
      <c r="U14" s="46" t="str">
        <f t="shared" si="8"/>
        <v>76%</v>
      </c>
      <c r="V14" s="32" t="str">
        <f t="shared" si="9"/>
        <v>24%</v>
      </c>
      <c r="W14" s="57">
        <v>2.0</v>
      </c>
      <c r="X14" s="54">
        <v>25.0</v>
      </c>
      <c r="Y14" s="54">
        <v>1.0</v>
      </c>
      <c r="Z14" s="35" t="str">
        <f t="shared" si="10"/>
        <v>26</v>
      </c>
      <c r="AA14" s="48" t="str">
        <f t="shared" si="11"/>
        <v>96%</v>
      </c>
      <c r="AB14" s="32" t="str">
        <f t="shared" si="12"/>
        <v>4%</v>
      </c>
    </row>
    <row r="15">
      <c r="A15" s="58"/>
      <c r="B15" s="49" t="s">
        <v>59</v>
      </c>
      <c r="C15" s="34" t="s">
        <v>60</v>
      </c>
      <c r="D15" s="49">
        <v>30.0</v>
      </c>
      <c r="E15" s="29">
        <v>0.0</v>
      </c>
      <c r="F15" s="49">
        <v>25.0</v>
      </c>
      <c r="G15" s="49">
        <v>5.0</v>
      </c>
      <c r="H15" s="35" t="str">
        <f t="shared" si="1"/>
        <v>30</v>
      </c>
      <c r="I15" s="32" t="str">
        <f t="shared" si="2"/>
        <v>83%</v>
      </c>
      <c r="J15" s="32" t="str">
        <f t="shared" si="3"/>
        <v>17%</v>
      </c>
      <c r="K15" s="49">
        <v>0.0</v>
      </c>
      <c r="L15" s="49">
        <v>21.0</v>
      </c>
      <c r="M15" s="49">
        <v>4.0</v>
      </c>
      <c r="N15" s="35" t="str">
        <f t="shared" si="4"/>
        <v>25</v>
      </c>
      <c r="O15" s="42" t="str">
        <f t="shared" si="5"/>
        <v>84%</v>
      </c>
      <c r="P15" s="32" t="str">
        <f t="shared" si="6"/>
        <v>16%</v>
      </c>
      <c r="Q15" s="49">
        <v>0.0</v>
      </c>
      <c r="R15" s="49">
        <v>28.0</v>
      </c>
      <c r="S15" s="49">
        <v>2.0</v>
      </c>
      <c r="T15" s="35" t="str">
        <f t="shared" si="7"/>
        <v>30</v>
      </c>
      <c r="U15" s="46" t="str">
        <f t="shared" si="8"/>
        <v>93%</v>
      </c>
      <c r="V15" s="32" t="str">
        <f t="shared" si="9"/>
        <v>7%</v>
      </c>
      <c r="W15" s="34">
        <v>0.0</v>
      </c>
      <c r="X15" s="49">
        <v>30.0</v>
      </c>
      <c r="Y15" s="49">
        <v>0.0</v>
      </c>
      <c r="Z15" s="35" t="str">
        <f t="shared" si="10"/>
        <v>30</v>
      </c>
      <c r="AA15" s="48" t="str">
        <f t="shared" si="11"/>
        <v>100%</v>
      </c>
      <c r="AB15" s="32" t="str">
        <f t="shared" si="12"/>
        <v>0%</v>
      </c>
    </row>
    <row r="16">
      <c r="A16" s="71"/>
      <c r="B16" s="49" t="s">
        <v>61</v>
      </c>
      <c r="C16" s="34" t="s">
        <v>62</v>
      </c>
      <c r="D16" s="49">
        <v>25.0</v>
      </c>
      <c r="E16" s="29">
        <v>0.0</v>
      </c>
      <c r="F16" s="49">
        <v>22.0</v>
      </c>
      <c r="G16" s="49">
        <v>3.0</v>
      </c>
      <c r="H16" s="35" t="str">
        <f t="shared" si="1"/>
        <v>25</v>
      </c>
      <c r="I16" s="32" t="str">
        <f>F16/H16</f>
        <v>88%</v>
      </c>
      <c r="J16" s="32" t="str">
        <f t="shared" si="3"/>
        <v>12%</v>
      </c>
      <c r="K16" s="49">
        <v>0.0</v>
      </c>
      <c r="L16" s="49">
        <v>20.0</v>
      </c>
      <c r="M16" s="49">
        <v>5.0</v>
      </c>
      <c r="N16" s="35" t="str">
        <f t="shared" si="4"/>
        <v>25</v>
      </c>
      <c r="O16" s="32" t="str">
        <f t="shared" si="5"/>
        <v>80%</v>
      </c>
      <c r="P16" s="32" t="str">
        <f t="shared" si="6"/>
        <v>20%</v>
      </c>
      <c r="Q16" s="49">
        <v>0.0</v>
      </c>
      <c r="R16" s="49">
        <v>25.0</v>
      </c>
      <c r="S16" s="49">
        <v>0.0</v>
      </c>
      <c r="T16" s="35" t="str">
        <f t="shared" si="7"/>
        <v>25</v>
      </c>
      <c r="U16" s="46" t="str">
        <f t="shared" si="8"/>
        <v>100%</v>
      </c>
      <c r="V16" s="32" t="str">
        <f t="shared" si="9"/>
        <v>0%</v>
      </c>
      <c r="W16" s="34">
        <v>0.0</v>
      </c>
      <c r="X16" s="49">
        <v>25.0</v>
      </c>
      <c r="Y16" s="49">
        <v>0.0</v>
      </c>
      <c r="Z16" s="35" t="str">
        <f t="shared" si="10"/>
        <v>25</v>
      </c>
      <c r="AA16" s="48" t="str">
        <f t="shared" si="11"/>
        <v>100%</v>
      </c>
      <c r="AB16" s="32" t="str">
        <f t="shared" si="12"/>
        <v>0%</v>
      </c>
    </row>
    <row r="17" ht="15.75" customHeight="1">
      <c r="A17" s="79"/>
      <c r="B17" s="80" t="s">
        <v>63</v>
      </c>
      <c r="C17" s="81"/>
      <c r="D17" s="82" t="s">
        <v>64</v>
      </c>
      <c r="E17" s="83"/>
      <c r="F17" s="84"/>
      <c r="G17" s="85"/>
      <c r="I17" s="85"/>
      <c r="J17" s="85"/>
      <c r="K17" s="85"/>
    </row>
    <row r="18" ht="16.5" customHeight="1">
      <c r="A18" s="85"/>
      <c r="B18" s="86" t="s">
        <v>65</v>
      </c>
      <c r="C18" s="87" t="s">
        <v>66</v>
      </c>
      <c r="D18" s="88" t="s">
        <v>67</v>
      </c>
      <c r="E18" s="83"/>
      <c r="F18" s="89"/>
      <c r="G18" s="90"/>
      <c r="I18" s="91"/>
      <c r="J18" s="91"/>
      <c r="K18" s="91"/>
    </row>
    <row r="19" ht="16.5" customHeight="1">
      <c r="B19" s="78" t="s">
        <v>68</v>
      </c>
      <c r="C19" s="87" t="s">
        <v>69</v>
      </c>
      <c r="D19" s="92" t="s">
        <v>70</v>
      </c>
      <c r="E19" s="83"/>
      <c r="G19" s="93"/>
      <c r="I19" s="91"/>
      <c r="J19" s="91"/>
      <c r="K19" s="91"/>
    </row>
    <row r="20" ht="19.5" customHeight="1">
      <c r="B20" s="78" t="s">
        <v>71</v>
      </c>
      <c r="C20" s="87" t="s">
        <v>72</v>
      </c>
      <c r="D20" s="94" t="s">
        <v>73</v>
      </c>
      <c r="E20" s="83"/>
      <c r="G20" s="90"/>
      <c r="I20" s="91"/>
      <c r="J20" s="90"/>
      <c r="K20" s="91"/>
    </row>
    <row r="21" ht="15.75" customHeight="1">
      <c r="B21" s="95"/>
      <c r="C21" s="96"/>
      <c r="D21" s="91"/>
      <c r="E21" s="83"/>
      <c r="G21" s="91"/>
      <c r="H21" s="91"/>
      <c r="I21" s="91"/>
      <c r="J21" s="91"/>
      <c r="K21" s="91"/>
    </row>
    <row r="22" ht="21.75" customHeight="1">
      <c r="A22" s="97" t="s">
        <v>33</v>
      </c>
      <c r="B22" s="97" t="s">
        <v>74</v>
      </c>
      <c r="C22" s="97" t="s">
        <v>75</v>
      </c>
      <c r="D22" s="98" t="s">
        <v>35</v>
      </c>
      <c r="E22" s="99" t="s">
        <v>76</v>
      </c>
      <c r="F22" s="2"/>
      <c r="G22" s="2"/>
      <c r="H22" s="2"/>
      <c r="I22" s="3"/>
      <c r="J22" s="99" t="s">
        <v>77</v>
      </c>
      <c r="K22" s="2"/>
      <c r="L22" s="2"/>
      <c r="M22" s="2"/>
      <c r="N22" s="2"/>
      <c r="O22" s="3"/>
    </row>
    <row r="23" ht="78.0" customHeight="1">
      <c r="A23" s="49" t="s">
        <v>78</v>
      </c>
      <c r="B23" s="49" t="s">
        <v>44</v>
      </c>
      <c r="C23" s="49" t="s">
        <v>79</v>
      </c>
      <c r="D23" s="49" t="s">
        <v>80</v>
      </c>
      <c r="E23" s="100" t="s">
        <v>81</v>
      </c>
      <c r="F23" s="101"/>
      <c r="G23" s="101"/>
      <c r="H23" s="101"/>
      <c r="I23" s="102"/>
      <c r="J23" s="103" t="s">
        <v>82</v>
      </c>
      <c r="K23" s="101"/>
      <c r="L23" s="101"/>
      <c r="M23" s="101"/>
      <c r="N23" s="101"/>
      <c r="O23" s="102"/>
    </row>
    <row r="24" ht="37.5" customHeight="1">
      <c r="A24" s="49" t="s">
        <v>83</v>
      </c>
      <c r="B24" s="49" t="s">
        <v>48</v>
      </c>
      <c r="C24" s="49" t="s">
        <v>84</v>
      </c>
      <c r="D24" s="49" t="s">
        <v>85</v>
      </c>
      <c r="E24" s="104"/>
      <c r="I24" s="105"/>
      <c r="J24" s="104"/>
      <c r="O24" s="105"/>
      <c r="P24" s="106"/>
      <c r="Q24" s="106"/>
      <c r="R24" s="106"/>
    </row>
    <row r="25" ht="105.75" customHeight="1">
      <c r="A25" s="54" t="s">
        <v>86</v>
      </c>
      <c r="B25" s="49" t="s">
        <v>44</v>
      </c>
      <c r="C25" s="49" t="s">
        <v>87</v>
      </c>
      <c r="D25" s="49" t="s">
        <v>88</v>
      </c>
      <c r="E25" s="104"/>
      <c r="I25" s="105"/>
      <c r="J25" s="104"/>
      <c r="O25" s="105"/>
    </row>
    <row r="26" ht="55.5" customHeight="1">
      <c r="A26" s="54" t="s">
        <v>89</v>
      </c>
      <c r="B26" s="49" t="s">
        <v>48</v>
      </c>
      <c r="C26" s="49" t="s">
        <v>4</v>
      </c>
      <c r="D26" s="49" t="s">
        <v>90</v>
      </c>
      <c r="E26" s="104"/>
      <c r="I26" s="105"/>
      <c r="J26" s="104"/>
      <c r="O26" s="105"/>
    </row>
    <row r="27" ht="39.0" customHeight="1">
      <c r="A27" s="54" t="s">
        <v>91</v>
      </c>
      <c r="B27" s="49" t="s">
        <v>92</v>
      </c>
      <c r="C27" s="49" t="s">
        <v>93</v>
      </c>
      <c r="D27" s="107" t="s">
        <v>94</v>
      </c>
      <c r="E27" s="108"/>
      <c r="F27" s="109"/>
      <c r="G27" s="109"/>
      <c r="H27" s="109"/>
      <c r="I27" s="110"/>
      <c r="J27" s="108"/>
      <c r="K27" s="109"/>
      <c r="L27" s="109"/>
      <c r="M27" s="109"/>
      <c r="N27" s="109"/>
      <c r="O27" s="110"/>
    </row>
    <row r="28">
      <c r="C28" s="96"/>
      <c r="D28" s="91"/>
      <c r="E28" s="83"/>
      <c r="K28" s="91"/>
    </row>
    <row r="29">
      <c r="C29" s="96"/>
      <c r="D29" s="91"/>
      <c r="E29" s="83"/>
      <c r="K29" s="91"/>
    </row>
    <row r="30">
      <c r="C30" s="96"/>
      <c r="D30" s="91"/>
      <c r="E30" s="83"/>
      <c r="K30" s="91"/>
    </row>
    <row r="31">
      <c r="C31" s="96"/>
      <c r="D31" s="91"/>
      <c r="E31" s="83"/>
      <c r="K31" s="91"/>
    </row>
    <row r="32">
      <c r="D32" s="91"/>
      <c r="E32" s="83"/>
      <c r="K32" s="91"/>
    </row>
    <row r="33">
      <c r="C33" s="96"/>
      <c r="D33" s="91"/>
      <c r="E33" s="83"/>
      <c r="K33" s="91"/>
    </row>
    <row r="34">
      <c r="C34" s="96"/>
      <c r="D34" s="91"/>
      <c r="E34" s="83"/>
      <c r="K34" s="91"/>
    </row>
    <row r="35">
      <c r="C35" s="96"/>
      <c r="D35" s="91"/>
      <c r="E35" s="83"/>
      <c r="K35" s="91"/>
    </row>
    <row r="36">
      <c r="C36" s="96"/>
      <c r="D36" s="91"/>
      <c r="E36" s="83"/>
      <c r="K36" s="91"/>
    </row>
    <row r="37">
      <c r="C37" s="96"/>
      <c r="D37" s="91"/>
      <c r="E37" s="83"/>
      <c r="K37" s="91"/>
    </row>
    <row r="38">
      <c r="C38" s="96"/>
      <c r="D38" s="91"/>
      <c r="E38" s="83"/>
      <c r="K38" s="91"/>
    </row>
    <row r="39">
      <c r="C39" s="96"/>
      <c r="D39" s="91"/>
      <c r="E39" s="83"/>
      <c r="K39" s="91"/>
    </row>
    <row r="40">
      <c r="C40" s="96"/>
      <c r="D40" s="91"/>
      <c r="E40" s="83"/>
      <c r="K40" s="91"/>
    </row>
    <row r="41">
      <c r="C41" s="96"/>
      <c r="D41" s="91"/>
      <c r="E41" s="83"/>
      <c r="K41" s="91"/>
    </row>
    <row r="42">
      <c r="C42" s="96"/>
      <c r="D42" s="91"/>
      <c r="E42" s="83"/>
      <c r="K42" s="91"/>
    </row>
    <row r="43">
      <c r="C43" s="96"/>
      <c r="D43" s="91"/>
      <c r="E43" s="83"/>
      <c r="K43" s="91"/>
    </row>
    <row r="44">
      <c r="C44" s="96"/>
      <c r="D44" s="91"/>
      <c r="E44" s="83"/>
      <c r="K44" s="91"/>
    </row>
    <row r="45">
      <c r="C45" s="96"/>
      <c r="D45" s="91"/>
      <c r="E45" s="83"/>
      <c r="K45" s="91"/>
    </row>
    <row r="46">
      <c r="C46" s="96"/>
      <c r="D46" s="91"/>
      <c r="E46" s="83"/>
      <c r="K46" s="91"/>
    </row>
    <row r="47">
      <c r="C47" s="96"/>
      <c r="D47" s="91"/>
      <c r="E47" s="83"/>
      <c r="K47" s="91"/>
    </row>
    <row r="48">
      <c r="C48" s="96"/>
      <c r="D48" s="91"/>
      <c r="E48" s="83"/>
      <c r="K48" s="91"/>
    </row>
    <row r="49">
      <c r="C49" s="96"/>
      <c r="D49" s="91"/>
      <c r="E49" s="83"/>
      <c r="K49" s="91"/>
    </row>
    <row r="50">
      <c r="C50" s="96"/>
      <c r="D50" s="91"/>
      <c r="E50" s="83"/>
      <c r="K50" s="91"/>
    </row>
    <row r="51">
      <c r="C51" s="96"/>
      <c r="D51" s="91"/>
      <c r="E51" s="83"/>
      <c r="K51" s="91"/>
    </row>
    <row r="52">
      <c r="C52" s="96"/>
      <c r="D52" s="91"/>
      <c r="E52" s="83"/>
      <c r="K52" s="91"/>
    </row>
    <row r="53">
      <c r="C53" s="96"/>
      <c r="D53" s="91"/>
      <c r="E53" s="83"/>
      <c r="K53" s="91"/>
    </row>
    <row r="54">
      <c r="C54" s="96"/>
      <c r="D54" s="91"/>
      <c r="E54" s="83"/>
      <c r="K54" s="91"/>
    </row>
    <row r="55">
      <c r="C55" s="96"/>
      <c r="D55" s="91"/>
      <c r="E55" s="83"/>
      <c r="K55" s="91"/>
    </row>
    <row r="56">
      <c r="C56" s="96"/>
      <c r="D56" s="91"/>
      <c r="E56" s="83"/>
      <c r="K56" s="91"/>
    </row>
    <row r="57">
      <c r="C57" s="96"/>
      <c r="D57" s="91"/>
      <c r="E57" s="83"/>
      <c r="K57" s="91"/>
    </row>
    <row r="58">
      <c r="C58" s="96"/>
      <c r="D58" s="91"/>
      <c r="E58" s="83"/>
      <c r="K58" s="91"/>
    </row>
    <row r="59">
      <c r="C59" s="96"/>
      <c r="D59" s="91"/>
      <c r="E59" s="83"/>
      <c r="K59" s="91"/>
    </row>
    <row r="60">
      <c r="C60" s="96"/>
      <c r="D60" s="91"/>
      <c r="E60" s="83"/>
      <c r="K60" s="91"/>
    </row>
    <row r="61">
      <c r="C61" s="96"/>
      <c r="D61" s="91"/>
      <c r="E61" s="83"/>
      <c r="K61" s="91"/>
    </row>
    <row r="62">
      <c r="C62" s="96"/>
      <c r="D62" s="91"/>
      <c r="E62" s="83"/>
      <c r="K62" s="91"/>
    </row>
    <row r="63">
      <c r="C63" s="96"/>
      <c r="D63" s="91"/>
      <c r="E63" s="83"/>
      <c r="K63" s="91"/>
    </row>
    <row r="64">
      <c r="C64" s="96"/>
      <c r="D64" s="91"/>
      <c r="E64" s="83"/>
      <c r="K64" s="91"/>
    </row>
    <row r="65">
      <c r="C65" s="96"/>
      <c r="D65" s="91"/>
      <c r="E65" s="83"/>
      <c r="K65" s="91"/>
    </row>
    <row r="66">
      <c r="C66" s="96"/>
      <c r="D66" s="91"/>
      <c r="E66" s="83"/>
      <c r="K66" s="91"/>
    </row>
    <row r="67">
      <c r="C67" s="96"/>
      <c r="D67" s="91"/>
      <c r="E67" s="83"/>
      <c r="K67" s="91"/>
    </row>
    <row r="68">
      <c r="C68" s="96"/>
      <c r="D68" s="91"/>
      <c r="E68" s="83"/>
      <c r="K68" s="91"/>
    </row>
    <row r="69">
      <c r="C69" s="96"/>
      <c r="D69" s="91"/>
      <c r="E69" s="83"/>
      <c r="K69" s="91"/>
    </row>
    <row r="70">
      <c r="C70" s="96"/>
      <c r="D70" s="91"/>
      <c r="E70" s="83"/>
      <c r="K70" s="91"/>
    </row>
    <row r="71">
      <c r="C71" s="96"/>
      <c r="D71" s="91"/>
      <c r="E71" s="83"/>
      <c r="K71" s="91"/>
    </row>
    <row r="72">
      <c r="C72" s="96"/>
      <c r="D72" s="91"/>
      <c r="E72" s="83"/>
      <c r="K72" s="91"/>
    </row>
    <row r="73">
      <c r="C73" s="96"/>
      <c r="D73" s="91"/>
      <c r="E73" s="83"/>
      <c r="K73" s="91"/>
    </row>
    <row r="74">
      <c r="C74" s="96"/>
      <c r="D74" s="91"/>
      <c r="E74" s="83"/>
      <c r="K74" s="91"/>
    </row>
    <row r="75">
      <c r="C75" s="96"/>
      <c r="D75" s="91"/>
      <c r="E75" s="83"/>
      <c r="K75" s="91"/>
    </row>
    <row r="76">
      <c r="C76" s="96"/>
      <c r="D76" s="91"/>
      <c r="E76" s="83"/>
      <c r="K76" s="91"/>
    </row>
    <row r="77">
      <c r="C77" s="96"/>
      <c r="D77" s="91"/>
      <c r="E77" s="83"/>
      <c r="K77" s="91"/>
    </row>
    <row r="78">
      <c r="C78" s="96"/>
      <c r="D78" s="91"/>
      <c r="E78" s="83"/>
      <c r="K78" s="91"/>
    </row>
    <row r="79">
      <c r="C79" s="96"/>
      <c r="D79" s="91"/>
      <c r="E79" s="83"/>
      <c r="K79" s="91"/>
    </row>
    <row r="80">
      <c r="C80" s="96"/>
      <c r="D80" s="91"/>
      <c r="E80" s="83"/>
      <c r="K80" s="91"/>
    </row>
    <row r="81">
      <c r="C81" s="96"/>
      <c r="D81" s="91"/>
      <c r="E81" s="83"/>
      <c r="K81" s="91"/>
    </row>
    <row r="82">
      <c r="C82" s="96"/>
      <c r="D82" s="91"/>
      <c r="E82" s="83"/>
      <c r="K82" s="91"/>
    </row>
    <row r="83">
      <c r="C83" s="96"/>
      <c r="D83" s="91"/>
      <c r="E83" s="83"/>
      <c r="K83" s="91"/>
    </row>
    <row r="84">
      <c r="C84" s="96"/>
      <c r="D84" s="91"/>
      <c r="E84" s="83"/>
      <c r="K84" s="91"/>
    </row>
    <row r="85">
      <c r="C85" s="96"/>
      <c r="D85" s="91"/>
      <c r="E85" s="83"/>
      <c r="K85" s="91"/>
    </row>
    <row r="86">
      <c r="C86" s="96"/>
      <c r="D86" s="91"/>
      <c r="E86" s="83"/>
      <c r="K86" s="91"/>
    </row>
    <row r="87">
      <c r="C87" s="96"/>
      <c r="D87" s="91"/>
      <c r="E87" s="83"/>
      <c r="K87" s="91"/>
    </row>
    <row r="88">
      <c r="C88" s="96"/>
      <c r="D88" s="91"/>
      <c r="E88" s="83"/>
      <c r="K88" s="91"/>
    </row>
    <row r="89">
      <c r="C89" s="96"/>
      <c r="D89" s="91"/>
      <c r="E89" s="83"/>
      <c r="K89" s="91"/>
    </row>
    <row r="90">
      <c r="C90" s="96"/>
      <c r="D90" s="91"/>
      <c r="E90" s="83"/>
      <c r="K90" s="91"/>
    </row>
    <row r="91">
      <c r="C91" s="96"/>
      <c r="D91" s="91"/>
      <c r="E91" s="83"/>
      <c r="K91" s="91"/>
    </row>
    <row r="92">
      <c r="C92" s="96"/>
      <c r="D92" s="91"/>
      <c r="E92" s="83"/>
      <c r="K92" s="91"/>
    </row>
    <row r="93">
      <c r="C93" s="96"/>
      <c r="D93" s="91"/>
      <c r="E93" s="83"/>
      <c r="K93" s="91"/>
    </row>
    <row r="94">
      <c r="C94" s="96"/>
      <c r="D94" s="91"/>
      <c r="E94" s="83"/>
      <c r="K94" s="91"/>
    </row>
    <row r="95">
      <c r="C95" s="96"/>
      <c r="D95" s="91"/>
      <c r="E95" s="83"/>
      <c r="K95" s="91"/>
    </row>
    <row r="96">
      <c r="C96" s="96"/>
      <c r="D96" s="91"/>
      <c r="E96" s="83"/>
      <c r="K96" s="91"/>
    </row>
    <row r="97">
      <c r="C97" s="96"/>
      <c r="D97" s="91"/>
      <c r="E97" s="83"/>
      <c r="K97" s="91"/>
    </row>
    <row r="98">
      <c r="C98" s="96"/>
      <c r="D98" s="91"/>
      <c r="E98" s="83"/>
      <c r="K98" s="91"/>
    </row>
    <row r="99">
      <c r="C99" s="96"/>
      <c r="D99" s="91"/>
      <c r="E99" s="83"/>
      <c r="K99" s="91"/>
    </row>
    <row r="100">
      <c r="C100" s="96"/>
      <c r="D100" s="91"/>
      <c r="E100" s="83"/>
      <c r="K100" s="91"/>
    </row>
  </sheetData>
  <mergeCells count="18">
    <mergeCell ref="A1:AB1"/>
    <mergeCell ref="D2:J2"/>
    <mergeCell ref="K2:P2"/>
    <mergeCell ref="Q2:V2"/>
    <mergeCell ref="W2:AB2"/>
    <mergeCell ref="A10:A11"/>
    <mergeCell ref="A7:A8"/>
    <mergeCell ref="A14:A16"/>
    <mergeCell ref="A12:A13"/>
    <mergeCell ref="G17:H17"/>
    <mergeCell ref="G18:H18"/>
    <mergeCell ref="E22:I22"/>
    <mergeCell ref="J22:O22"/>
    <mergeCell ref="E23:I27"/>
    <mergeCell ref="J23:O27"/>
    <mergeCell ref="G19:H19"/>
    <mergeCell ref="G20:H20"/>
    <mergeCell ref="F18:F21"/>
  </mergeCells>
  <conditionalFormatting sqref="I1:I16">
    <cfRule type="cellIs" dxfId="3" priority="1" operator="between">
      <formula>0</formula>
      <formula>0.5</formula>
    </cfRule>
  </conditionalFormatting>
  <conditionalFormatting sqref="I1:I16">
    <cfRule type="cellIs" dxfId="4" priority="2" operator="between">
      <formula>0.75</formula>
      <formula>1</formula>
    </cfRule>
  </conditionalFormatting>
  <conditionalFormatting sqref="I1:I16">
    <cfRule type="cellIs" dxfId="5" priority="3" operator="between">
      <formula>0.5</formula>
      <formula>75</formula>
    </cfRule>
  </conditionalFormatting>
  <conditionalFormatting sqref="I1:I16">
    <cfRule type="cellIs" dxfId="6" priority="4" operator="between">
      <formula>0</formula>
      <formula>0.5</formula>
    </cfRule>
  </conditionalFormatting>
  <conditionalFormatting sqref="I5:I16">
    <cfRule type="cellIs" dxfId="7" priority="5" operator="between">
      <formula>0.75</formula>
      <formula>1</formula>
    </cfRule>
  </conditionalFormatting>
  <conditionalFormatting sqref="I5:I16">
    <cfRule type="cellIs" dxfId="5" priority="6" operator="between">
      <formula>0.5</formula>
      <formula>0.74</formula>
    </cfRule>
  </conditionalFormatting>
  <conditionalFormatting sqref="I5:I16">
    <cfRule type="cellIs" dxfId="5" priority="7" operator="between">
      <formula>0.5</formula>
      <formula>0.75</formula>
    </cfRule>
  </conditionalFormatting>
  <conditionalFormatting sqref="I5:I16">
    <cfRule type="cellIs" dxfId="8" priority="8" operator="between">
      <formula>0.5</formula>
      <formula>0.75</formula>
    </cfRule>
  </conditionalFormatting>
  <conditionalFormatting sqref="O1:O16 AA6:AA16">
    <cfRule type="cellIs" dxfId="5" priority="9" operator="between">
      <formula>0.5</formula>
      <formula>0.75</formula>
    </cfRule>
  </conditionalFormatting>
  <conditionalFormatting sqref="O1:O16 AA6:AA16">
    <cfRule type="cellIs" dxfId="3" priority="10" operator="between">
      <formula>0</formula>
      <formula>0.5</formula>
    </cfRule>
  </conditionalFormatting>
  <conditionalFormatting sqref="O6:O16 AA6:AA16">
    <cfRule type="cellIs" dxfId="7" priority="11" operator="between">
      <formula>0.75</formula>
      <formula>1</formula>
    </cfRule>
  </conditionalFormatting>
  <conditionalFormatting sqref="O6:O16 AA6:AA16">
    <cfRule type="cellIs" dxfId="5" priority="12" operator="between">
      <formula>0.5</formula>
      <formula>0.74</formula>
    </cfRule>
  </conditionalFormatting>
  <conditionalFormatting sqref="O6:O16 AA6:AA16">
    <cfRule type="cellIs" dxfId="8" priority="13" operator="between">
      <formula>0.5</formula>
      <formula>0.75</formula>
    </cfRule>
  </conditionalFormatting>
  <conditionalFormatting sqref="O6:O16 AA6:AA16">
    <cfRule type="cellIs" dxfId="5" priority="14" operator="between">
      <formula>0.5</formula>
      <formula>75</formula>
    </cfRule>
  </conditionalFormatting>
  <conditionalFormatting sqref="O6:O16 AA6:AA16">
    <cfRule type="cellIs" dxfId="6" priority="15" operator="between">
      <formula>0</formula>
      <formula>0.5</formula>
    </cfRule>
  </conditionalFormatting>
  <conditionalFormatting sqref="O1:O16 U6:U16 AA6:AA16">
    <cfRule type="cellIs" dxfId="4" priority="16" operator="between">
      <formula>0.75</formula>
      <formula>1</formula>
    </cfRule>
  </conditionalFormatting>
  <conditionalFormatting sqref="U6:U16">
    <cfRule type="cellIs" dxfId="7" priority="17" operator="between">
      <formula>0.75</formula>
      <formula>1</formula>
    </cfRule>
  </conditionalFormatting>
  <conditionalFormatting sqref="U6:U16">
    <cfRule type="cellIs" dxfId="5" priority="18" operator="between">
      <formula>0.5</formula>
      <formula>0.74</formula>
    </cfRule>
  </conditionalFormatting>
  <conditionalFormatting sqref="U6:U16">
    <cfRule type="cellIs" dxfId="5" priority="19" operator="between">
      <formula>0.5</formula>
      <formula>0.75</formula>
    </cfRule>
  </conditionalFormatting>
  <conditionalFormatting sqref="U6:U16">
    <cfRule type="cellIs" dxfId="8" priority="20" operator="between">
      <formula>0.5</formula>
      <formula>0.75</formula>
    </cfRule>
  </conditionalFormatting>
  <conditionalFormatting sqref="U6:U16">
    <cfRule type="cellIs" dxfId="3" priority="21" operator="between">
      <formula>0</formula>
      <formula>0.5</formula>
    </cfRule>
  </conditionalFormatting>
  <conditionalFormatting sqref="U6:U16">
    <cfRule type="cellIs" dxfId="5" priority="22" operator="between">
      <formula>0.5</formula>
      <formula>75</formula>
    </cfRule>
  </conditionalFormatting>
  <conditionalFormatting sqref="U6:U16">
    <cfRule type="cellIs" dxfId="6" priority="23" operator="between">
      <formula>0</formula>
      <formula>0.5</formula>
    </cfRule>
  </conditionalFormatting>
  <printOptions/>
  <pageMargins bottom="0.75" footer="0.0" header="0.0" left="0.7" right="0.7" top="0.75"/>
  <pageSetup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11.57"/>
    <col customWidth="1" min="3" max="3" width="17.86"/>
    <col customWidth="1" min="4" max="4" width="14.86"/>
    <col customWidth="1" min="5" max="5" width="12.57"/>
    <col customWidth="1" min="6" max="6" width="11.43"/>
    <col customWidth="1" min="7" max="7" width="8.86"/>
    <col customWidth="1" min="8" max="8" width="21.14"/>
    <col customWidth="1" min="9" max="9" width="12.14"/>
    <col customWidth="1" min="10" max="29" width="8.86"/>
    <col customWidth="1" min="30" max="35" width="9.0"/>
  </cols>
  <sheetData>
    <row r="1" ht="14.25" customHeight="1">
      <c r="A1" s="111" t="s">
        <v>95</v>
      </c>
      <c r="B1" s="109"/>
      <c r="C1" s="109"/>
      <c r="D1" s="109"/>
      <c r="E1" s="10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c r="AE1" s="109"/>
      <c r="AF1" s="109"/>
      <c r="AG1" s="109"/>
      <c r="AH1" s="109"/>
      <c r="AI1" s="109"/>
    </row>
    <row r="2" ht="18.75" customHeight="1">
      <c r="A2" s="7"/>
      <c r="B2" s="112"/>
      <c r="C2" s="112"/>
      <c r="D2" s="33"/>
      <c r="E2" s="7" t="s">
        <v>1</v>
      </c>
      <c r="F2" s="2"/>
      <c r="G2" s="2"/>
      <c r="H2" s="2"/>
      <c r="I2" s="2"/>
      <c r="J2" s="112"/>
      <c r="K2" s="33"/>
      <c r="L2" s="7" t="s">
        <v>2</v>
      </c>
      <c r="M2" s="2"/>
      <c r="N2" s="2"/>
      <c r="O2" s="2"/>
      <c r="P2" s="2"/>
      <c r="Q2" s="3"/>
      <c r="R2" s="7" t="s">
        <v>3</v>
      </c>
      <c r="S2" s="2"/>
      <c r="T2" s="2"/>
      <c r="U2" s="2"/>
      <c r="V2" s="2"/>
      <c r="W2" s="3"/>
      <c r="X2" s="7" t="s">
        <v>4</v>
      </c>
      <c r="Y2" s="2"/>
      <c r="Z2" s="2"/>
      <c r="AA2" s="2"/>
      <c r="AB2" s="2"/>
      <c r="AC2" s="3"/>
      <c r="AD2" s="7" t="s">
        <v>96</v>
      </c>
      <c r="AE2" s="2"/>
      <c r="AF2" s="2"/>
      <c r="AG2" s="2"/>
      <c r="AH2" s="2"/>
      <c r="AI2" s="3"/>
    </row>
    <row r="3" ht="14.25" customHeight="1">
      <c r="A3" s="27" t="s">
        <v>33</v>
      </c>
      <c r="B3" s="27" t="s">
        <v>34</v>
      </c>
      <c r="C3" s="7" t="s">
        <v>35</v>
      </c>
      <c r="D3" s="33"/>
      <c r="E3" s="27" t="s">
        <v>97</v>
      </c>
      <c r="F3" s="27" t="s">
        <v>38</v>
      </c>
      <c r="G3" s="27" t="s">
        <v>39</v>
      </c>
      <c r="H3" s="7" t="s">
        <v>40</v>
      </c>
      <c r="I3" s="7"/>
      <c r="J3" s="7" t="s">
        <v>41</v>
      </c>
      <c r="K3" s="33"/>
      <c r="L3" s="27" t="s">
        <v>38</v>
      </c>
      <c r="M3" s="27" t="s">
        <v>39</v>
      </c>
      <c r="N3" s="7" t="s">
        <v>40</v>
      </c>
      <c r="O3" s="7"/>
      <c r="P3" s="7" t="s">
        <v>41</v>
      </c>
      <c r="Q3" s="33"/>
      <c r="R3" s="27" t="s">
        <v>38</v>
      </c>
      <c r="S3" s="27" t="s">
        <v>39</v>
      </c>
      <c r="T3" s="7" t="s">
        <v>40</v>
      </c>
      <c r="U3" s="7"/>
      <c r="V3" s="7" t="s">
        <v>41</v>
      </c>
      <c r="W3" s="33"/>
      <c r="X3" s="27" t="s">
        <v>38</v>
      </c>
      <c r="Y3" s="27" t="s">
        <v>39</v>
      </c>
      <c r="Z3" s="7" t="s">
        <v>40</v>
      </c>
      <c r="AA3" s="7"/>
      <c r="AB3" s="7" t="s">
        <v>41</v>
      </c>
      <c r="AC3" s="33"/>
      <c r="AD3" s="27" t="s">
        <v>38</v>
      </c>
      <c r="AE3" s="27" t="s">
        <v>39</v>
      </c>
      <c r="AF3" s="7" t="s">
        <v>40</v>
      </c>
      <c r="AG3" s="7"/>
      <c r="AH3" s="7" t="s">
        <v>41</v>
      </c>
      <c r="AI3" s="33"/>
    </row>
    <row r="4" ht="14.25" customHeight="1">
      <c r="A4" s="27"/>
      <c r="B4" s="27"/>
      <c r="C4" s="7"/>
      <c r="D4" s="3"/>
      <c r="E4" s="33"/>
      <c r="F4" s="27"/>
      <c r="G4" s="27"/>
      <c r="H4" s="7"/>
      <c r="I4" s="7" t="s">
        <v>37</v>
      </c>
      <c r="J4" s="7" t="s">
        <v>38</v>
      </c>
      <c r="K4" s="33" t="s">
        <v>39</v>
      </c>
      <c r="L4" s="27"/>
      <c r="M4" s="27"/>
      <c r="N4" s="7"/>
      <c r="O4" s="7" t="s">
        <v>37</v>
      </c>
      <c r="P4" s="7" t="s">
        <v>38</v>
      </c>
      <c r="Q4" s="33" t="s">
        <v>39</v>
      </c>
      <c r="R4" s="27"/>
      <c r="S4" s="27"/>
      <c r="T4" s="7"/>
      <c r="U4" s="7" t="s">
        <v>37</v>
      </c>
      <c r="V4" s="7" t="s">
        <v>38</v>
      </c>
      <c r="W4" s="33" t="s">
        <v>39</v>
      </c>
      <c r="X4" s="27"/>
      <c r="Y4" s="27"/>
      <c r="Z4" s="7"/>
      <c r="AA4" s="7" t="s">
        <v>37</v>
      </c>
      <c r="AB4" s="7" t="s">
        <v>38</v>
      </c>
      <c r="AC4" s="33" t="s">
        <v>39</v>
      </c>
      <c r="AD4" s="27"/>
      <c r="AE4" s="27"/>
      <c r="AF4" s="7"/>
      <c r="AG4" s="7" t="s">
        <v>37</v>
      </c>
      <c r="AH4" s="7" t="s">
        <v>38</v>
      </c>
      <c r="AI4" s="33" t="s">
        <v>39</v>
      </c>
    </row>
    <row r="5" ht="14.25" customHeight="1">
      <c r="A5" s="27" t="s">
        <v>98</v>
      </c>
      <c r="B5" s="27" t="s">
        <v>99</v>
      </c>
      <c r="C5" s="7" t="s">
        <v>100</v>
      </c>
      <c r="D5" s="3"/>
      <c r="E5" s="33">
        <v>28.0</v>
      </c>
      <c r="F5" s="27">
        <v>7.0</v>
      </c>
      <c r="G5" s="27">
        <v>12.0</v>
      </c>
      <c r="H5" s="7">
        <v>19.0</v>
      </c>
      <c r="I5" s="7">
        <v>9.0</v>
      </c>
      <c r="J5" s="113" t="str">
        <f>F5/H5</f>
        <v>37%</v>
      </c>
      <c r="K5" s="114" t="str">
        <f t="shared" ref="K5:K6" si="1">G5/H5</f>
        <v>63%</v>
      </c>
      <c r="L5" s="27">
        <v>13.0</v>
      </c>
      <c r="M5" s="27">
        <v>11.0</v>
      </c>
      <c r="N5" s="7">
        <v>24.0</v>
      </c>
      <c r="O5" s="7">
        <v>4.0</v>
      </c>
      <c r="P5" s="115" t="str">
        <f t="shared" ref="P5:P12" si="2">(L5/N5)</f>
        <v>54%</v>
      </c>
      <c r="Q5" s="42" t="str">
        <f t="shared" ref="Q5:Q12" si="3">(M5/N5)</f>
        <v>46%</v>
      </c>
      <c r="R5" s="27">
        <v>11.0</v>
      </c>
      <c r="S5" s="27">
        <v>13.0</v>
      </c>
      <c r="T5" s="7">
        <v>24.0</v>
      </c>
      <c r="U5" s="7">
        <v>4.0</v>
      </c>
      <c r="V5" s="116" t="str">
        <f t="shared" ref="V5:V12" si="4">(R5/T5)</f>
        <v>46%</v>
      </c>
      <c r="W5" s="32" t="str">
        <f t="shared" ref="W5:W12" si="5">(S5/T5)</f>
        <v>54%</v>
      </c>
      <c r="X5" s="27"/>
      <c r="Y5" s="27"/>
      <c r="Z5" s="7"/>
      <c r="AA5" s="7"/>
      <c r="AB5" s="116" t="str">
        <f t="shared" ref="AB5:AB12" si="6">(X5/Z5)</f>
        <v>#DIV/0!</v>
      </c>
      <c r="AC5" s="32" t="str">
        <f>(Y5/Z5)</f>
        <v>#DIV/0!</v>
      </c>
      <c r="AD5" s="27"/>
      <c r="AE5" s="27"/>
      <c r="AF5" s="7"/>
      <c r="AG5" s="7"/>
      <c r="AH5" s="116" t="str">
        <f t="shared" ref="AH5:AH12" si="7">(AD5/AF5)</f>
        <v>#DIV/0!</v>
      </c>
      <c r="AI5" s="32" t="str">
        <f t="shared" ref="AI5:AI12" si="8">(AE5/AF5)</f>
        <v>#DIV/0!</v>
      </c>
    </row>
    <row r="6" ht="14.25" customHeight="1">
      <c r="A6" s="35" t="s">
        <v>46</v>
      </c>
      <c r="B6" s="117" t="s">
        <v>101</v>
      </c>
      <c r="C6" s="118" t="s">
        <v>102</v>
      </c>
      <c r="D6" s="3"/>
      <c r="E6" s="53">
        <v>30.0</v>
      </c>
      <c r="F6" s="54">
        <v>29.0</v>
      </c>
      <c r="G6" s="54">
        <v>0.0</v>
      </c>
      <c r="H6" s="54">
        <v>29.0</v>
      </c>
      <c r="I6" s="54">
        <v>1.0</v>
      </c>
      <c r="J6" s="115" t="str">
        <f t="shared" ref="J6:J12" si="9">(F6/H6)</f>
        <v>100%</v>
      </c>
      <c r="K6" s="114" t="str">
        <f t="shared" si="1"/>
        <v>0%</v>
      </c>
      <c r="L6" s="54">
        <v>28.0</v>
      </c>
      <c r="M6" s="54">
        <v>0.0</v>
      </c>
      <c r="N6" s="54">
        <v>28.0</v>
      </c>
      <c r="O6" s="54">
        <v>2.0</v>
      </c>
      <c r="P6" s="115" t="str">
        <f t="shared" si="2"/>
        <v>100%</v>
      </c>
      <c r="Q6" s="32" t="str">
        <f t="shared" si="3"/>
        <v>0%</v>
      </c>
      <c r="R6" s="54">
        <v>29.0</v>
      </c>
      <c r="S6" s="54">
        <v>0.0</v>
      </c>
      <c r="T6" s="54">
        <v>29.0</v>
      </c>
      <c r="U6" s="54">
        <v>1.0</v>
      </c>
      <c r="V6" s="116" t="str">
        <f t="shared" si="4"/>
        <v>100%</v>
      </c>
      <c r="W6" s="32" t="str">
        <f t="shared" si="5"/>
        <v>0%</v>
      </c>
      <c r="X6" s="54">
        <v>26.0</v>
      </c>
      <c r="Y6" s="54">
        <v>0.0</v>
      </c>
      <c r="Z6" s="54">
        <v>26.0</v>
      </c>
      <c r="AA6" s="54">
        <v>4.0</v>
      </c>
      <c r="AB6" s="116" t="str">
        <f t="shared" si="6"/>
        <v>100%</v>
      </c>
      <c r="AC6" s="32" t="str">
        <f>(AE6/AF6)</f>
        <v>0%</v>
      </c>
      <c r="AD6" s="54">
        <v>27.0</v>
      </c>
      <c r="AE6" s="54">
        <v>0.0</v>
      </c>
      <c r="AF6" s="54">
        <v>27.0</v>
      </c>
      <c r="AG6" s="54">
        <v>3.0</v>
      </c>
      <c r="AH6" s="116" t="str">
        <f t="shared" si="7"/>
        <v>100%</v>
      </c>
      <c r="AI6" s="32" t="str">
        <f t="shared" si="8"/>
        <v>0%</v>
      </c>
    </row>
    <row r="7" ht="14.25" customHeight="1">
      <c r="A7" s="58"/>
      <c r="B7" s="117" t="s">
        <v>103</v>
      </c>
      <c r="C7" s="118" t="s">
        <v>104</v>
      </c>
      <c r="D7" s="3"/>
      <c r="E7" s="53">
        <v>32.0</v>
      </c>
      <c r="F7" s="54">
        <v>32.0</v>
      </c>
      <c r="G7" s="54">
        <v>0.0</v>
      </c>
      <c r="H7" s="54">
        <v>32.0</v>
      </c>
      <c r="I7" s="54">
        <v>0.0</v>
      </c>
      <c r="J7" s="115" t="str">
        <f t="shared" si="9"/>
        <v>100%</v>
      </c>
      <c r="K7" s="32" t="str">
        <f t="shared" ref="K7:K12" si="10">(G7/H7)</f>
        <v>0%</v>
      </c>
      <c r="L7" s="54">
        <v>29.0</v>
      </c>
      <c r="M7" s="54">
        <v>3.0</v>
      </c>
      <c r="N7" s="54">
        <v>32.0</v>
      </c>
      <c r="O7" s="54">
        <v>0.0</v>
      </c>
      <c r="P7" s="115" t="str">
        <f t="shared" si="2"/>
        <v>91%</v>
      </c>
      <c r="Q7" s="32" t="str">
        <f t="shared" si="3"/>
        <v>9%</v>
      </c>
      <c r="R7" s="54">
        <v>28.0</v>
      </c>
      <c r="S7" s="54">
        <v>3.0</v>
      </c>
      <c r="T7" s="54">
        <v>31.0</v>
      </c>
      <c r="U7" s="54">
        <v>1.0</v>
      </c>
      <c r="V7" s="116" t="str">
        <f t="shared" si="4"/>
        <v>90%</v>
      </c>
      <c r="W7" s="32" t="str">
        <f t="shared" si="5"/>
        <v>10%</v>
      </c>
      <c r="X7" s="54">
        <v>32.0</v>
      </c>
      <c r="Y7" s="54">
        <v>0.0</v>
      </c>
      <c r="Z7" s="54">
        <v>32.0</v>
      </c>
      <c r="AA7" s="54">
        <v>0.0</v>
      </c>
      <c r="AB7" s="116" t="str">
        <f t="shared" si="6"/>
        <v>100%</v>
      </c>
      <c r="AC7" s="32" t="str">
        <f t="shared" ref="AC7:AC12" si="11">(Y7/Z7)</f>
        <v>0%</v>
      </c>
      <c r="AD7" s="54">
        <v>30.0</v>
      </c>
      <c r="AE7" s="54">
        <v>2.0</v>
      </c>
      <c r="AF7" s="54">
        <v>32.0</v>
      </c>
      <c r="AG7" s="54">
        <v>0.0</v>
      </c>
      <c r="AH7" s="116" t="str">
        <f t="shared" si="7"/>
        <v>94%</v>
      </c>
      <c r="AI7" s="32" t="str">
        <f t="shared" si="8"/>
        <v>6%</v>
      </c>
    </row>
    <row r="8" ht="16.5" customHeight="1">
      <c r="A8" s="49" t="s">
        <v>105</v>
      </c>
      <c r="B8" s="117" t="s">
        <v>101</v>
      </c>
      <c r="C8" s="118" t="s">
        <v>106</v>
      </c>
      <c r="D8" s="3"/>
      <c r="E8" s="53">
        <v>25.0</v>
      </c>
      <c r="F8" s="54">
        <v>15.0</v>
      </c>
      <c r="G8" s="54">
        <v>10.0</v>
      </c>
      <c r="H8" s="54">
        <v>25.0</v>
      </c>
      <c r="I8" s="54">
        <v>0.0</v>
      </c>
      <c r="J8" s="32" t="str">
        <f t="shared" si="9"/>
        <v>60%</v>
      </c>
      <c r="K8" s="32" t="str">
        <f t="shared" si="10"/>
        <v>40%</v>
      </c>
      <c r="L8" s="54">
        <v>18.0</v>
      </c>
      <c r="M8" s="54">
        <v>7.0</v>
      </c>
      <c r="N8" s="54">
        <v>25.0</v>
      </c>
      <c r="O8" s="54">
        <v>0.0</v>
      </c>
      <c r="P8" s="32" t="str">
        <f t="shared" si="2"/>
        <v>72%</v>
      </c>
      <c r="Q8" s="32" t="str">
        <f t="shared" si="3"/>
        <v>28%</v>
      </c>
      <c r="R8" s="54">
        <v>23.0</v>
      </c>
      <c r="S8" s="54">
        <v>2.0</v>
      </c>
      <c r="T8" s="54">
        <v>25.0</v>
      </c>
      <c r="U8" s="54">
        <v>0.0</v>
      </c>
      <c r="V8" s="32" t="str">
        <f t="shared" si="4"/>
        <v>92%</v>
      </c>
      <c r="W8" s="32" t="str">
        <f t="shared" si="5"/>
        <v>8%</v>
      </c>
      <c r="X8" s="54">
        <v>23.0</v>
      </c>
      <c r="Y8" s="54">
        <v>2.0</v>
      </c>
      <c r="Z8" s="54">
        <v>25.0</v>
      </c>
      <c r="AA8" s="54">
        <v>0.0</v>
      </c>
      <c r="AB8" s="32" t="str">
        <f t="shared" si="6"/>
        <v>92%</v>
      </c>
      <c r="AC8" s="32" t="str">
        <f t="shared" si="11"/>
        <v>8%</v>
      </c>
      <c r="AD8" s="54">
        <v>16.0</v>
      </c>
      <c r="AE8" s="54">
        <v>9.0</v>
      </c>
      <c r="AF8" s="54">
        <v>25.0</v>
      </c>
      <c r="AG8" s="54">
        <v>0.0</v>
      </c>
      <c r="AH8" s="32" t="str">
        <f t="shared" si="7"/>
        <v>64%</v>
      </c>
      <c r="AI8" s="32" t="str">
        <f t="shared" si="8"/>
        <v>36%</v>
      </c>
    </row>
    <row r="9" ht="14.25" customHeight="1">
      <c r="A9" s="35" t="s">
        <v>52</v>
      </c>
      <c r="B9" s="119" t="s">
        <v>101</v>
      </c>
      <c r="C9" s="118" t="s">
        <v>107</v>
      </c>
      <c r="D9" s="3"/>
      <c r="E9" s="53">
        <v>39.0</v>
      </c>
      <c r="F9" s="54">
        <v>26.0</v>
      </c>
      <c r="G9" s="54">
        <v>9.0</v>
      </c>
      <c r="H9" s="54">
        <v>35.0</v>
      </c>
      <c r="I9" s="54">
        <v>4.0</v>
      </c>
      <c r="J9" s="115" t="str">
        <f t="shared" si="9"/>
        <v>74%</v>
      </c>
      <c r="K9" s="32" t="str">
        <f t="shared" si="10"/>
        <v>26%</v>
      </c>
      <c r="L9" s="54">
        <v>25.0</v>
      </c>
      <c r="M9" s="54">
        <v>8.0</v>
      </c>
      <c r="N9" s="54">
        <v>33.0</v>
      </c>
      <c r="O9" s="54">
        <v>6.0</v>
      </c>
      <c r="P9" s="120" t="str">
        <f t="shared" si="2"/>
        <v>76%</v>
      </c>
      <c r="Q9" s="32" t="str">
        <f t="shared" si="3"/>
        <v>24%</v>
      </c>
      <c r="R9" s="54">
        <v>28.0</v>
      </c>
      <c r="S9" s="54">
        <v>8.0</v>
      </c>
      <c r="T9" s="54">
        <v>36.0</v>
      </c>
      <c r="U9" s="54">
        <v>3.0</v>
      </c>
      <c r="V9" s="121" t="str">
        <f t="shared" si="4"/>
        <v>78%</v>
      </c>
      <c r="W9" s="32" t="str">
        <f t="shared" si="5"/>
        <v>22%</v>
      </c>
      <c r="X9" s="54">
        <v>24.0</v>
      </c>
      <c r="Y9" s="54">
        <v>11.0</v>
      </c>
      <c r="Z9" s="54">
        <v>35.0</v>
      </c>
      <c r="AA9" s="54">
        <v>4.0</v>
      </c>
      <c r="AB9" s="121" t="str">
        <f t="shared" si="6"/>
        <v>69%</v>
      </c>
      <c r="AC9" s="32" t="str">
        <f t="shared" si="11"/>
        <v>31%</v>
      </c>
      <c r="AD9" s="54">
        <v>27.0</v>
      </c>
      <c r="AE9" s="54">
        <v>7.0</v>
      </c>
      <c r="AF9" s="54">
        <v>34.0</v>
      </c>
      <c r="AG9" s="54">
        <v>5.0</v>
      </c>
      <c r="AH9" s="121" t="str">
        <f t="shared" si="7"/>
        <v>79%</v>
      </c>
      <c r="AI9" s="32" t="str">
        <f t="shared" si="8"/>
        <v>21%</v>
      </c>
    </row>
    <row r="10" ht="14.25" customHeight="1">
      <c r="A10" s="122" t="s">
        <v>108</v>
      </c>
      <c r="B10" s="59" t="s">
        <v>101</v>
      </c>
      <c r="C10" s="123" t="s">
        <v>109</v>
      </c>
      <c r="D10" s="3"/>
      <c r="E10" s="63">
        <v>27.0</v>
      </c>
      <c r="F10" s="64"/>
      <c r="G10" s="64"/>
      <c r="H10" s="64"/>
      <c r="I10" s="64"/>
      <c r="J10" s="42" t="str">
        <f t="shared" si="9"/>
        <v>#DIV/0!</v>
      </c>
      <c r="K10" s="42" t="str">
        <f t="shared" si="10"/>
        <v>#DIV/0!</v>
      </c>
      <c r="L10" s="64"/>
      <c r="M10" s="64"/>
      <c r="N10" s="64"/>
      <c r="O10" s="64"/>
      <c r="P10" s="42" t="str">
        <f t="shared" si="2"/>
        <v>#DIV/0!</v>
      </c>
      <c r="Q10" s="42" t="str">
        <f t="shared" si="3"/>
        <v>#DIV/0!</v>
      </c>
      <c r="R10" s="64"/>
      <c r="S10" s="64"/>
      <c r="T10" s="64"/>
      <c r="U10" s="64"/>
      <c r="V10" s="42" t="str">
        <f t="shared" si="4"/>
        <v>#DIV/0!</v>
      </c>
      <c r="W10" s="42" t="str">
        <f t="shared" si="5"/>
        <v>#DIV/0!</v>
      </c>
      <c r="X10" s="64"/>
      <c r="Y10" s="64"/>
      <c r="Z10" s="64"/>
      <c r="AA10" s="64"/>
      <c r="AB10" s="42" t="str">
        <f t="shared" si="6"/>
        <v>#DIV/0!</v>
      </c>
      <c r="AC10" s="42" t="str">
        <f t="shared" si="11"/>
        <v>#DIV/0!</v>
      </c>
      <c r="AD10" s="64"/>
      <c r="AE10" s="64"/>
      <c r="AF10" s="64"/>
      <c r="AG10" s="64"/>
      <c r="AH10" s="42" t="str">
        <f t="shared" si="7"/>
        <v>#DIV/0!</v>
      </c>
      <c r="AI10" s="42" t="str">
        <f t="shared" si="8"/>
        <v>#DIV/0!</v>
      </c>
    </row>
    <row r="11" ht="14.25" customHeight="1">
      <c r="A11" s="71"/>
      <c r="B11" s="59" t="s">
        <v>103</v>
      </c>
      <c r="C11" s="123" t="s">
        <v>110</v>
      </c>
      <c r="D11" s="3"/>
      <c r="E11" s="63">
        <v>30.0</v>
      </c>
      <c r="F11" s="64"/>
      <c r="G11" s="64"/>
      <c r="H11" s="64"/>
      <c r="I11" s="64"/>
      <c r="J11" s="42" t="str">
        <f t="shared" si="9"/>
        <v>#DIV/0!</v>
      </c>
      <c r="K11" s="42" t="str">
        <f t="shared" si="10"/>
        <v>#DIV/0!</v>
      </c>
      <c r="L11" s="64"/>
      <c r="M11" s="64"/>
      <c r="N11" s="64"/>
      <c r="O11" s="64"/>
      <c r="P11" s="42" t="str">
        <f t="shared" si="2"/>
        <v>#DIV/0!</v>
      </c>
      <c r="Q11" s="42" t="str">
        <f t="shared" si="3"/>
        <v>#DIV/0!</v>
      </c>
      <c r="R11" s="64"/>
      <c r="S11" s="64"/>
      <c r="T11" s="64"/>
      <c r="U11" s="64"/>
      <c r="V11" s="42" t="str">
        <f t="shared" si="4"/>
        <v>#DIV/0!</v>
      </c>
      <c r="W11" s="42" t="str">
        <f t="shared" si="5"/>
        <v>#DIV/0!</v>
      </c>
      <c r="X11" s="64"/>
      <c r="Y11" s="64"/>
      <c r="Z11" s="64"/>
      <c r="AA11" s="64"/>
      <c r="AB11" s="42" t="str">
        <f t="shared" si="6"/>
        <v>#DIV/0!</v>
      </c>
      <c r="AC11" s="42" t="str">
        <f t="shared" si="11"/>
        <v>#DIV/0!</v>
      </c>
      <c r="AD11" s="64"/>
      <c r="AE11" s="64"/>
      <c r="AF11" s="64"/>
      <c r="AG11" s="64"/>
      <c r="AH11" s="42" t="str">
        <f t="shared" si="7"/>
        <v>#DIV/0!</v>
      </c>
      <c r="AI11" s="42" t="str">
        <f t="shared" si="8"/>
        <v>#DIV/0!</v>
      </c>
    </row>
    <row r="12" ht="14.25" customHeight="1">
      <c r="A12" s="124" t="s">
        <v>57</v>
      </c>
      <c r="B12" s="119" t="s">
        <v>101</v>
      </c>
      <c r="C12" s="118" t="s">
        <v>111</v>
      </c>
      <c r="D12" s="3"/>
      <c r="E12" s="53">
        <v>35.0</v>
      </c>
      <c r="F12" s="54">
        <v>31.0</v>
      </c>
      <c r="G12" s="54">
        <v>3.0</v>
      </c>
      <c r="H12" s="54">
        <v>34.0</v>
      </c>
      <c r="I12" s="54">
        <v>1.0</v>
      </c>
      <c r="J12" s="115" t="str">
        <f t="shared" si="9"/>
        <v>91%</v>
      </c>
      <c r="K12" s="32" t="str">
        <f t="shared" si="10"/>
        <v>9%</v>
      </c>
      <c r="L12" s="54">
        <v>26.0</v>
      </c>
      <c r="M12" s="54">
        <v>6.0</v>
      </c>
      <c r="N12" s="54">
        <v>32.0</v>
      </c>
      <c r="O12" s="54">
        <v>3.0</v>
      </c>
      <c r="P12" s="116" t="str">
        <f t="shared" si="2"/>
        <v>81%</v>
      </c>
      <c r="Q12" s="32" t="str">
        <f t="shared" si="3"/>
        <v>19%</v>
      </c>
      <c r="R12" s="54">
        <v>27.0</v>
      </c>
      <c r="S12" s="54">
        <v>3.0</v>
      </c>
      <c r="T12" s="54">
        <v>30.0</v>
      </c>
      <c r="U12" s="54">
        <v>5.0</v>
      </c>
      <c r="V12" s="116" t="str">
        <f t="shared" si="4"/>
        <v>90%</v>
      </c>
      <c r="W12" s="32" t="str">
        <f t="shared" si="5"/>
        <v>10%</v>
      </c>
      <c r="X12" s="54">
        <v>27.0</v>
      </c>
      <c r="Y12" s="54">
        <v>5.0</v>
      </c>
      <c r="Z12" s="54">
        <v>32.0</v>
      </c>
      <c r="AA12" s="54">
        <v>3.0</v>
      </c>
      <c r="AB12" s="116" t="str">
        <f t="shared" si="6"/>
        <v>84%</v>
      </c>
      <c r="AC12" s="32" t="str">
        <f t="shared" si="11"/>
        <v>16%</v>
      </c>
      <c r="AD12" s="54">
        <v>27.0</v>
      </c>
      <c r="AE12" s="54">
        <v>3.0</v>
      </c>
      <c r="AF12" s="54">
        <v>30.0</v>
      </c>
      <c r="AG12" s="54">
        <v>5.0</v>
      </c>
      <c r="AH12" s="116" t="str">
        <f t="shared" si="7"/>
        <v>90%</v>
      </c>
      <c r="AI12" s="32" t="str">
        <f t="shared" si="8"/>
        <v>10%</v>
      </c>
    </row>
    <row r="13" ht="15.75" customHeight="1">
      <c r="A13" s="91"/>
      <c r="B13" s="125" t="s">
        <v>112</v>
      </c>
      <c r="C13" s="126" t="s">
        <v>113</v>
      </c>
      <c r="D13" s="126" t="s">
        <v>64</v>
      </c>
      <c r="E13" s="91"/>
      <c r="F13" s="127"/>
      <c r="L13" s="79"/>
      <c r="M13" s="79"/>
      <c r="N13" s="79"/>
      <c r="O13" s="91"/>
      <c r="P13" s="91"/>
      <c r="Q13" s="91"/>
      <c r="R13" s="91"/>
      <c r="S13" s="91"/>
      <c r="T13" s="54"/>
      <c r="U13" s="91"/>
      <c r="V13" s="91"/>
      <c r="W13" s="91"/>
      <c r="X13" s="91"/>
      <c r="Y13" s="91"/>
      <c r="Z13" s="91"/>
      <c r="AA13" s="91"/>
      <c r="AB13" s="91"/>
      <c r="AC13" s="91"/>
    </row>
    <row r="14" ht="15.75" customHeight="1">
      <c r="A14" s="91"/>
      <c r="B14" s="49" t="s">
        <v>114</v>
      </c>
      <c r="C14" s="49" t="s">
        <v>66</v>
      </c>
      <c r="D14" s="88" t="s">
        <v>67</v>
      </c>
      <c r="E14" s="91"/>
      <c r="F14" s="84"/>
      <c r="G14" s="85" t="s">
        <v>115</v>
      </c>
      <c r="I14" s="85"/>
      <c r="J14" s="128"/>
      <c r="K14" s="129"/>
      <c r="L14" s="129"/>
      <c r="M14" s="129"/>
      <c r="N14" s="129"/>
      <c r="O14" s="129"/>
      <c r="P14" s="129"/>
      <c r="Q14" s="129"/>
      <c r="R14" s="129"/>
      <c r="S14" s="130"/>
      <c r="T14" s="91"/>
      <c r="U14" s="91"/>
      <c r="V14" s="91"/>
      <c r="W14" s="91"/>
      <c r="X14" s="91"/>
      <c r="Y14" s="91"/>
      <c r="Z14" s="91"/>
      <c r="AA14" s="91"/>
      <c r="AB14" s="91"/>
      <c r="AC14" s="91"/>
    </row>
    <row r="15" ht="16.5" customHeight="1">
      <c r="A15" s="91"/>
      <c r="B15" s="49" t="s">
        <v>116</v>
      </c>
      <c r="C15" s="49" t="s">
        <v>69</v>
      </c>
      <c r="D15" s="131" t="s">
        <v>70</v>
      </c>
      <c r="E15" s="91"/>
      <c r="F15" s="89"/>
      <c r="G15" s="90"/>
      <c r="I15" s="91"/>
      <c r="J15" s="132"/>
      <c r="S15" s="133"/>
      <c r="T15" s="91"/>
      <c r="U15" s="91"/>
      <c r="V15" s="91"/>
      <c r="W15" s="91"/>
      <c r="X15" s="91"/>
      <c r="Y15" s="91"/>
      <c r="Z15" s="91"/>
      <c r="AA15" s="91"/>
      <c r="AB15" s="91"/>
      <c r="AC15" s="91"/>
    </row>
    <row r="16" ht="16.5" customHeight="1">
      <c r="A16" s="91"/>
      <c r="B16" s="49" t="s">
        <v>117</v>
      </c>
      <c r="C16" s="49" t="s">
        <v>72</v>
      </c>
      <c r="D16" s="94" t="s">
        <v>73</v>
      </c>
      <c r="E16" s="91"/>
      <c r="F16" s="79"/>
      <c r="G16" s="90"/>
      <c r="I16" s="91"/>
      <c r="J16" s="134"/>
      <c r="K16" s="135"/>
      <c r="L16" s="135"/>
      <c r="M16" s="135"/>
      <c r="N16" s="135"/>
      <c r="O16" s="135"/>
      <c r="P16" s="135"/>
      <c r="Q16" s="135"/>
      <c r="R16" s="135"/>
      <c r="S16" s="136"/>
      <c r="T16" s="91"/>
      <c r="U16" s="91"/>
      <c r="V16" s="91"/>
      <c r="W16" s="91"/>
      <c r="X16" s="91"/>
      <c r="Y16" s="91"/>
      <c r="Z16" s="91"/>
      <c r="AA16" s="91"/>
      <c r="AB16" s="91"/>
      <c r="AC16" s="91"/>
    </row>
    <row r="17" ht="30.0" customHeight="1">
      <c r="A17" s="91"/>
      <c r="B17" s="91"/>
      <c r="C17" s="91"/>
      <c r="D17" s="91"/>
      <c r="E17" s="91"/>
      <c r="F17" s="91"/>
      <c r="G17" s="90"/>
      <c r="I17" s="91"/>
      <c r="J17" s="91"/>
      <c r="K17" s="91"/>
      <c r="L17" s="79"/>
      <c r="M17" s="79"/>
      <c r="N17" s="79"/>
      <c r="O17" s="91"/>
      <c r="P17" s="91"/>
      <c r="Q17" s="91"/>
      <c r="R17" s="91"/>
      <c r="S17" s="91"/>
      <c r="T17" s="91"/>
      <c r="U17" s="91"/>
      <c r="V17" s="91"/>
      <c r="W17" s="91"/>
      <c r="X17" s="91"/>
      <c r="Y17" s="91"/>
      <c r="Z17" s="91"/>
      <c r="AA17" s="91"/>
      <c r="AB17" s="91"/>
      <c r="AC17" s="91"/>
    </row>
    <row r="18" ht="18.0" customHeight="1">
      <c r="A18" s="97" t="s">
        <v>33</v>
      </c>
      <c r="B18" s="97" t="s">
        <v>74</v>
      </c>
      <c r="C18" s="97" t="s">
        <v>75</v>
      </c>
      <c r="D18" s="98" t="s">
        <v>35</v>
      </c>
      <c r="E18" s="99" t="s">
        <v>76</v>
      </c>
      <c r="F18" s="2"/>
      <c r="G18" s="2"/>
      <c r="H18" s="2"/>
      <c r="I18" s="2"/>
      <c r="J18" s="3"/>
      <c r="K18" s="99" t="s">
        <v>118</v>
      </c>
      <c r="L18" s="2"/>
      <c r="M18" s="2"/>
      <c r="N18" s="2"/>
      <c r="O18" s="2"/>
      <c r="P18" s="2"/>
      <c r="Q18" s="2"/>
      <c r="R18" s="2"/>
      <c r="S18" s="3"/>
      <c r="T18" s="91"/>
      <c r="U18" s="91"/>
      <c r="V18" s="91"/>
      <c r="W18" s="91"/>
      <c r="X18" s="91"/>
      <c r="Y18" s="91"/>
      <c r="Z18" s="91"/>
      <c r="AA18" s="91"/>
      <c r="AB18" s="91"/>
      <c r="AC18" s="91"/>
    </row>
    <row r="19" ht="42.0" customHeight="1">
      <c r="A19" s="49" t="s">
        <v>78</v>
      </c>
      <c r="B19" s="49">
        <v>3.0</v>
      </c>
      <c r="C19" s="49" t="s">
        <v>119</v>
      </c>
      <c r="D19" s="49" t="s">
        <v>120</v>
      </c>
      <c r="E19" s="68" t="s">
        <v>121</v>
      </c>
      <c r="F19" s="2"/>
      <c r="G19" s="2"/>
      <c r="H19" s="2"/>
      <c r="I19" s="2"/>
      <c r="J19" s="3"/>
      <c r="K19" s="137" t="s">
        <v>122</v>
      </c>
      <c r="L19" s="101"/>
      <c r="M19" s="101"/>
      <c r="N19" s="101"/>
      <c r="O19" s="101"/>
      <c r="P19" s="101"/>
      <c r="Q19" s="101"/>
      <c r="R19" s="101"/>
      <c r="S19" s="102"/>
      <c r="T19" s="91"/>
      <c r="U19" s="91"/>
      <c r="V19" s="91"/>
      <c r="W19" s="91"/>
      <c r="X19" s="91"/>
      <c r="Y19" s="91"/>
      <c r="Z19" s="91"/>
      <c r="AA19" s="91"/>
      <c r="AB19" s="91"/>
      <c r="AC19" s="91"/>
    </row>
    <row r="20" ht="27.0" customHeight="1">
      <c r="A20" s="54" t="s">
        <v>89</v>
      </c>
      <c r="B20" s="49" t="s">
        <v>101</v>
      </c>
      <c r="C20" s="49" t="s">
        <v>123</v>
      </c>
      <c r="D20" s="49" t="s">
        <v>124</v>
      </c>
      <c r="E20" s="138" t="s">
        <v>125</v>
      </c>
      <c r="F20" s="101"/>
      <c r="G20" s="101"/>
      <c r="H20" s="101"/>
      <c r="I20" s="101"/>
      <c r="J20" s="102"/>
      <c r="K20" s="104"/>
      <c r="S20" s="105"/>
      <c r="T20" s="91"/>
      <c r="U20" s="91"/>
      <c r="V20" s="91"/>
      <c r="W20" s="91"/>
      <c r="X20" s="91"/>
      <c r="Y20" s="91"/>
      <c r="Z20" s="91"/>
      <c r="AA20" s="91"/>
      <c r="AB20" s="91"/>
      <c r="AC20" s="91"/>
    </row>
    <row r="21" ht="142.5" customHeight="1">
      <c r="A21" s="49" t="s">
        <v>91</v>
      </c>
      <c r="B21" s="49" t="s">
        <v>101</v>
      </c>
      <c r="C21" s="49" t="s">
        <v>3</v>
      </c>
      <c r="D21" s="49" t="s">
        <v>111</v>
      </c>
      <c r="E21" s="108"/>
      <c r="F21" s="109"/>
      <c r="G21" s="109"/>
      <c r="H21" s="109"/>
      <c r="I21" s="109"/>
      <c r="J21" s="110"/>
      <c r="K21" s="108"/>
      <c r="L21" s="109"/>
      <c r="M21" s="109"/>
      <c r="N21" s="109"/>
      <c r="O21" s="109"/>
      <c r="P21" s="109"/>
      <c r="Q21" s="109"/>
      <c r="R21" s="109"/>
      <c r="S21" s="110"/>
      <c r="T21" s="91"/>
      <c r="U21" s="91"/>
      <c r="V21" s="91"/>
      <c r="W21" s="91"/>
      <c r="X21" s="91"/>
      <c r="Y21" s="91"/>
      <c r="Z21" s="91"/>
      <c r="AA21" s="91"/>
      <c r="AB21" s="91"/>
      <c r="AC21" s="91"/>
    </row>
    <row r="22" ht="29.25" customHeight="1">
      <c r="A22" s="91"/>
      <c r="B22" s="91"/>
      <c r="C22" s="91"/>
      <c r="D22" s="91"/>
      <c r="E22" s="91"/>
      <c r="F22" s="91"/>
      <c r="G22" s="90"/>
      <c r="I22" s="91"/>
      <c r="J22" s="91"/>
      <c r="K22" s="91"/>
      <c r="L22" s="79"/>
      <c r="M22" s="79"/>
      <c r="N22" s="79"/>
      <c r="O22" s="91"/>
      <c r="P22" s="91"/>
      <c r="Q22" s="91"/>
      <c r="R22" s="91"/>
      <c r="S22" s="91"/>
      <c r="T22" s="91"/>
      <c r="U22" s="91"/>
      <c r="V22" s="91"/>
      <c r="W22" s="91"/>
      <c r="X22" s="91"/>
      <c r="Y22" s="91"/>
      <c r="Z22" s="91"/>
      <c r="AA22" s="91"/>
      <c r="AB22" s="91"/>
      <c r="AC22" s="91"/>
    </row>
    <row r="23" ht="14.25" customHeight="1">
      <c r="F23" s="91"/>
      <c r="G23" s="91"/>
      <c r="I23" s="91"/>
      <c r="J23" s="91"/>
      <c r="K23" s="91"/>
      <c r="L23" s="91"/>
      <c r="M23" s="91"/>
      <c r="N23" s="91"/>
    </row>
    <row r="24" ht="79.5" customHeight="1">
      <c r="F24" s="127"/>
      <c r="G24" s="90"/>
      <c r="I24" s="91"/>
      <c r="J24" s="91"/>
      <c r="K24" s="91"/>
      <c r="L24" s="79"/>
      <c r="M24" s="79"/>
      <c r="N24" s="79"/>
    </row>
    <row r="25" ht="21.0" customHeight="1">
      <c r="A25" s="91"/>
      <c r="B25" s="91"/>
      <c r="C25" s="91"/>
      <c r="D25" s="91"/>
      <c r="E25" s="91"/>
      <c r="F25" s="91"/>
      <c r="G25" s="90"/>
      <c r="I25" s="91"/>
      <c r="J25" s="91"/>
      <c r="K25" s="91"/>
      <c r="L25" s="91"/>
      <c r="M25" s="91"/>
      <c r="N25" s="91"/>
      <c r="O25" s="91"/>
      <c r="P25" s="91"/>
      <c r="Q25" s="91"/>
      <c r="R25" s="91"/>
      <c r="S25" s="91"/>
      <c r="T25" s="91"/>
      <c r="U25" s="91"/>
      <c r="V25" s="91"/>
      <c r="W25" s="91"/>
      <c r="X25" s="91"/>
      <c r="Y25" s="91"/>
      <c r="Z25" s="91"/>
      <c r="AA25" s="91"/>
      <c r="AB25" s="91"/>
      <c r="AC25" s="91"/>
    </row>
    <row r="26" ht="54.0" customHeight="1">
      <c r="A26" s="91"/>
      <c r="B26" s="91"/>
      <c r="C26" s="91"/>
      <c r="D26" s="91"/>
      <c r="E26" s="91"/>
      <c r="F26" s="91"/>
      <c r="G26" s="90"/>
      <c r="I26" s="91"/>
      <c r="J26" s="91"/>
      <c r="K26" s="91"/>
      <c r="L26" s="91"/>
      <c r="M26" s="91"/>
      <c r="N26" s="91"/>
      <c r="O26" s="91"/>
      <c r="P26" s="91"/>
      <c r="Q26" s="91"/>
      <c r="R26" s="91"/>
      <c r="S26" s="91"/>
      <c r="T26" s="91"/>
      <c r="U26" s="91"/>
      <c r="V26" s="91"/>
      <c r="W26" s="91"/>
      <c r="X26" s="91"/>
      <c r="Y26" s="91"/>
      <c r="Z26" s="91"/>
      <c r="AA26" s="91"/>
      <c r="AB26" s="91"/>
      <c r="AC26" s="91"/>
    </row>
    <row r="27" ht="14.25" customHeight="1">
      <c r="A27" s="91"/>
      <c r="B27" s="91"/>
      <c r="C27" s="91"/>
      <c r="D27" s="91"/>
      <c r="E27" s="91"/>
      <c r="F27" s="91"/>
      <c r="G27" s="91"/>
      <c r="H27" s="91"/>
      <c r="I27" s="91"/>
      <c r="J27" s="91"/>
      <c r="K27" s="91"/>
      <c r="L27" s="91"/>
      <c r="M27" s="91"/>
      <c r="N27" s="91"/>
      <c r="O27" s="91"/>
      <c r="P27" s="91"/>
      <c r="Q27" s="91"/>
      <c r="R27" s="91"/>
      <c r="S27" s="91"/>
      <c r="T27" s="91"/>
      <c r="U27" s="91"/>
      <c r="V27" s="91"/>
      <c r="W27" s="91"/>
      <c r="X27" s="91"/>
      <c r="Y27" s="91"/>
      <c r="Z27" s="91"/>
      <c r="AA27" s="91"/>
      <c r="AB27" s="91"/>
      <c r="AC27" s="91"/>
    </row>
    <row r="28" ht="14.25" customHeight="1">
      <c r="A28" s="91"/>
      <c r="B28" s="91"/>
      <c r="C28" s="91"/>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row>
    <row r="29" ht="14.25" customHeight="1">
      <c r="A29" s="91"/>
      <c r="B29" s="91"/>
      <c r="C29" s="91"/>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row>
    <row r="30" ht="14.25" customHeight="1">
      <c r="A30" s="91"/>
      <c r="B30" s="91"/>
      <c r="C30" s="91"/>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row>
    <row r="31" ht="14.25" customHeight="1">
      <c r="A31" s="91"/>
      <c r="B31" s="91"/>
      <c r="C31" s="91"/>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row>
    <row r="32" ht="14.25" customHeight="1">
      <c r="A32" s="91"/>
      <c r="B32" s="91"/>
      <c r="C32" s="91"/>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row>
    <row r="33" ht="14.25" customHeight="1">
      <c r="A33" s="91"/>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91"/>
      <c r="AC33" s="91"/>
    </row>
    <row r="34" ht="14.25" customHeight="1">
      <c r="A34" s="91"/>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row>
    <row r="35" ht="14.25" customHeight="1">
      <c r="A35" s="91"/>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91"/>
      <c r="AC35" s="91"/>
    </row>
    <row r="36" ht="14.25" customHeight="1">
      <c r="A36" s="91"/>
      <c r="B36" s="91"/>
      <c r="C36" s="91"/>
      <c r="D36" s="91"/>
      <c r="E36" s="91"/>
      <c r="F36" s="91"/>
      <c r="G36" s="91"/>
      <c r="H36" s="91"/>
      <c r="I36" s="91"/>
      <c r="J36" s="91"/>
      <c r="K36" s="91"/>
      <c r="L36" s="91"/>
      <c r="M36" s="91"/>
      <c r="N36" s="91"/>
      <c r="O36" s="91"/>
      <c r="P36" s="91"/>
      <c r="Q36" s="91"/>
      <c r="R36" s="91"/>
      <c r="S36" s="91"/>
      <c r="T36" s="91"/>
      <c r="U36" s="91"/>
      <c r="V36" s="91"/>
      <c r="W36" s="91"/>
      <c r="X36" s="91"/>
      <c r="Y36" s="91"/>
      <c r="Z36" s="91"/>
      <c r="AA36" s="91"/>
      <c r="AB36" s="91"/>
      <c r="AC36" s="91"/>
    </row>
    <row r="37" ht="14.25" customHeight="1">
      <c r="A37" s="91"/>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row>
    <row r="38" ht="14.25" customHeight="1">
      <c r="A38" s="91"/>
      <c r="B38" s="91"/>
      <c r="C38" s="91"/>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s="91"/>
    </row>
    <row r="39" ht="14.25" customHeight="1">
      <c r="A39" s="91"/>
      <c r="B39" s="91"/>
      <c r="C39" s="91"/>
      <c r="D39" s="91"/>
      <c r="E39" s="91"/>
      <c r="F39" s="91"/>
      <c r="G39" s="91"/>
      <c r="H39" s="91"/>
      <c r="I39" s="91"/>
      <c r="J39" s="91"/>
      <c r="K39" s="91"/>
      <c r="L39" s="91"/>
      <c r="M39" s="91"/>
      <c r="N39" s="91"/>
      <c r="O39" s="91"/>
      <c r="P39" s="91"/>
      <c r="Q39" s="91"/>
      <c r="R39" s="91"/>
      <c r="S39" s="91"/>
      <c r="T39" s="91"/>
      <c r="U39" s="91"/>
      <c r="V39" s="91"/>
      <c r="W39" s="91"/>
      <c r="X39" s="91"/>
      <c r="Y39" s="91"/>
      <c r="Z39" s="91"/>
      <c r="AA39" s="91"/>
      <c r="AB39" s="91"/>
      <c r="AC39" s="91"/>
    </row>
    <row r="40" ht="14.25" customHeight="1">
      <c r="A40" s="91"/>
      <c r="B40" s="91"/>
      <c r="C40" s="91"/>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row>
    <row r="41" ht="14.25" customHeight="1">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row>
    <row r="42" ht="14.25" customHeight="1">
      <c r="A42" s="91"/>
      <c r="B42" s="91"/>
      <c r="C42" s="91"/>
      <c r="D42" s="91"/>
      <c r="E42" s="91"/>
      <c r="F42" s="91"/>
      <c r="G42" s="91"/>
      <c r="H42" s="91"/>
      <c r="I42" s="91"/>
      <c r="J42" s="91"/>
      <c r="K42" s="91"/>
      <c r="L42" s="91"/>
      <c r="M42" s="91"/>
      <c r="N42" s="91"/>
      <c r="O42" s="91"/>
      <c r="P42" s="91"/>
      <c r="Q42" s="91"/>
      <c r="R42" s="91"/>
      <c r="S42" s="91"/>
      <c r="T42" s="91"/>
      <c r="U42" s="91"/>
      <c r="V42" s="91"/>
      <c r="W42" s="91"/>
      <c r="X42" s="91"/>
      <c r="Y42" s="91"/>
      <c r="Z42" s="91"/>
      <c r="AA42" s="91"/>
      <c r="AB42" s="91"/>
      <c r="AC42" s="91"/>
    </row>
    <row r="43" ht="14.25" customHeight="1">
      <c r="A43" s="91"/>
      <c r="B43" s="91"/>
      <c r="C43" s="91"/>
      <c r="D43" s="91"/>
      <c r="E43" s="91"/>
      <c r="F43" s="91"/>
      <c r="G43" s="91"/>
      <c r="H43" s="91"/>
      <c r="I43" s="91"/>
      <c r="J43" s="91"/>
      <c r="K43" s="91"/>
      <c r="L43" s="91"/>
      <c r="M43" s="91"/>
      <c r="N43" s="91"/>
      <c r="O43" s="91"/>
      <c r="P43" s="91"/>
      <c r="Q43" s="91"/>
      <c r="R43" s="91"/>
      <c r="S43" s="91"/>
      <c r="T43" s="91"/>
      <c r="U43" s="91"/>
      <c r="V43" s="91"/>
      <c r="W43" s="91"/>
      <c r="X43" s="91"/>
      <c r="Y43" s="91"/>
      <c r="Z43" s="91"/>
      <c r="AA43" s="91"/>
      <c r="AB43" s="91"/>
      <c r="AC43" s="91"/>
    </row>
    <row r="44" ht="14.25" customHeight="1">
      <c r="A44" s="91"/>
      <c r="B44" s="91"/>
      <c r="C44" s="91"/>
      <c r="D44" s="91"/>
      <c r="E44" s="91"/>
      <c r="F44" s="91"/>
      <c r="G44" s="91"/>
      <c r="H44" s="91"/>
      <c r="I44" s="91"/>
      <c r="J44" s="91"/>
      <c r="K44" s="91"/>
      <c r="L44" s="91"/>
      <c r="M44" s="91"/>
      <c r="N44" s="91"/>
      <c r="O44" s="91"/>
      <c r="P44" s="91"/>
      <c r="Q44" s="91"/>
      <c r="R44" s="91"/>
      <c r="S44" s="91"/>
      <c r="T44" s="91"/>
      <c r="U44" s="91"/>
      <c r="V44" s="91"/>
      <c r="W44" s="91"/>
      <c r="X44" s="91"/>
      <c r="Y44" s="91"/>
      <c r="Z44" s="91"/>
      <c r="AA44" s="91"/>
      <c r="AB44" s="91"/>
      <c r="AC44" s="91"/>
    </row>
    <row r="45" ht="14.25" customHeight="1">
      <c r="A45" s="91"/>
      <c r="B45" s="91"/>
      <c r="C45" s="91"/>
      <c r="D45" s="91"/>
      <c r="E45" s="91"/>
      <c r="F45" s="91"/>
      <c r="G45" s="91"/>
      <c r="H45" s="91"/>
      <c r="I45" s="91"/>
      <c r="J45" s="91"/>
      <c r="K45" s="91"/>
      <c r="L45" s="91"/>
      <c r="M45" s="91"/>
      <c r="N45" s="91"/>
      <c r="O45" s="91"/>
      <c r="P45" s="91"/>
      <c r="Q45" s="91"/>
      <c r="R45" s="91"/>
      <c r="S45" s="91"/>
      <c r="T45" s="91"/>
      <c r="U45" s="91"/>
      <c r="V45" s="91"/>
      <c r="W45" s="91"/>
      <c r="X45" s="91"/>
      <c r="Y45" s="91"/>
      <c r="Z45" s="91"/>
      <c r="AA45" s="91"/>
      <c r="AB45" s="91"/>
      <c r="AC45" s="91"/>
    </row>
    <row r="46" ht="14.25" customHeight="1">
      <c r="A46" s="91"/>
      <c r="B46" s="91"/>
      <c r="C46" s="91"/>
      <c r="D46" s="91"/>
      <c r="E46" s="91"/>
      <c r="F46" s="91"/>
      <c r="G46" s="91"/>
      <c r="H46" s="91"/>
      <c r="I46" s="91"/>
      <c r="J46" s="91"/>
      <c r="K46" s="91"/>
      <c r="L46" s="91"/>
      <c r="M46" s="91"/>
      <c r="N46" s="91"/>
      <c r="O46" s="91"/>
      <c r="P46" s="91"/>
      <c r="Q46" s="91"/>
      <c r="R46" s="91"/>
      <c r="S46" s="91"/>
      <c r="T46" s="91"/>
      <c r="U46" s="91"/>
      <c r="V46" s="91"/>
      <c r="W46" s="91"/>
      <c r="X46" s="91"/>
      <c r="Y46" s="91"/>
      <c r="Z46" s="91"/>
      <c r="AA46" s="91"/>
      <c r="AB46" s="91"/>
      <c r="AC46" s="91"/>
    </row>
    <row r="47" ht="14.25" customHeight="1">
      <c r="A47" s="91"/>
      <c r="B47" s="91"/>
      <c r="C47" s="91"/>
      <c r="D47" s="91"/>
      <c r="E47" s="91"/>
      <c r="F47" s="91"/>
      <c r="G47" s="91"/>
      <c r="H47" s="91"/>
      <c r="I47" s="91"/>
      <c r="J47" s="91"/>
      <c r="K47" s="91"/>
      <c r="L47" s="91"/>
      <c r="M47" s="91"/>
      <c r="N47" s="91"/>
      <c r="O47" s="91"/>
      <c r="P47" s="91"/>
      <c r="Q47" s="91"/>
      <c r="R47" s="91"/>
      <c r="S47" s="91"/>
      <c r="T47" s="91"/>
      <c r="U47" s="91"/>
      <c r="V47" s="91"/>
      <c r="W47" s="91"/>
      <c r="X47" s="91"/>
      <c r="Y47" s="91"/>
      <c r="Z47" s="91"/>
      <c r="AA47" s="91"/>
      <c r="AB47" s="91"/>
      <c r="AC47" s="91"/>
    </row>
    <row r="48" ht="14.25" customHeight="1">
      <c r="A48" s="91"/>
      <c r="B48" s="91"/>
      <c r="C48" s="91"/>
      <c r="D48" s="91"/>
      <c r="E48" s="91"/>
      <c r="F48" s="91"/>
      <c r="G48" s="91"/>
      <c r="H48" s="91"/>
      <c r="I48" s="91"/>
      <c r="J48" s="91"/>
      <c r="K48" s="91"/>
      <c r="L48" s="91"/>
      <c r="M48" s="91"/>
      <c r="N48" s="91"/>
      <c r="O48" s="91"/>
      <c r="P48" s="91"/>
      <c r="Q48" s="91"/>
      <c r="R48" s="91"/>
      <c r="S48" s="91"/>
      <c r="T48" s="91"/>
      <c r="U48" s="91"/>
      <c r="V48" s="91"/>
      <c r="W48" s="91"/>
      <c r="X48" s="91"/>
      <c r="Y48" s="91"/>
      <c r="Z48" s="91"/>
      <c r="AA48" s="91"/>
      <c r="AB48" s="91"/>
      <c r="AC48" s="91"/>
    </row>
    <row r="49" ht="14.25" customHeight="1">
      <c r="A49" s="91"/>
      <c r="B49" s="91"/>
      <c r="C49" s="91"/>
      <c r="D49" s="91"/>
      <c r="E49" s="91"/>
      <c r="F49" s="91"/>
      <c r="G49" s="91"/>
      <c r="H49" s="91"/>
      <c r="I49" s="91"/>
      <c r="J49" s="91"/>
      <c r="K49" s="91"/>
      <c r="L49" s="91"/>
      <c r="M49" s="91"/>
      <c r="N49" s="91"/>
      <c r="O49" s="91"/>
      <c r="P49" s="91"/>
      <c r="Q49" s="91"/>
      <c r="R49" s="91"/>
      <c r="S49" s="91"/>
      <c r="T49" s="91"/>
      <c r="U49" s="91"/>
      <c r="V49" s="91"/>
      <c r="W49" s="91"/>
      <c r="X49" s="91"/>
      <c r="Y49" s="91"/>
      <c r="Z49" s="91"/>
      <c r="AA49" s="91"/>
      <c r="AB49" s="91"/>
      <c r="AC49" s="91"/>
    </row>
    <row r="50" ht="14.25" customHeight="1">
      <c r="A50" s="91"/>
      <c r="B50" s="91"/>
      <c r="C50" s="91"/>
      <c r="D50" s="91"/>
      <c r="E50" s="91"/>
      <c r="F50" s="91"/>
      <c r="G50" s="91"/>
      <c r="H50" s="91"/>
      <c r="I50" s="91"/>
      <c r="J50" s="91"/>
      <c r="K50" s="91"/>
      <c r="L50" s="91"/>
      <c r="M50" s="91"/>
      <c r="N50" s="91"/>
      <c r="O50" s="91"/>
      <c r="P50" s="91"/>
      <c r="Q50" s="91"/>
      <c r="R50" s="91"/>
      <c r="S50" s="91"/>
      <c r="T50" s="91"/>
      <c r="U50" s="91"/>
      <c r="V50" s="91"/>
      <c r="W50" s="91"/>
      <c r="X50" s="91"/>
      <c r="Y50" s="91"/>
      <c r="Z50" s="91"/>
      <c r="AA50" s="91"/>
      <c r="AB50" s="91"/>
      <c r="AC50" s="91"/>
    </row>
    <row r="51" ht="14.25" customHeight="1">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c r="AA51" s="91"/>
      <c r="AB51" s="91"/>
      <c r="AC51" s="91"/>
    </row>
    <row r="52" ht="14.25" customHeight="1">
      <c r="A52" s="91"/>
      <c r="B52" s="91"/>
      <c r="C52" s="91"/>
      <c r="D52" s="91"/>
      <c r="E52" s="91"/>
      <c r="F52" s="91"/>
      <c r="G52" s="91"/>
      <c r="H52" s="91"/>
      <c r="I52" s="91"/>
      <c r="J52" s="91"/>
      <c r="K52" s="91"/>
      <c r="L52" s="91"/>
      <c r="M52" s="91"/>
      <c r="N52" s="91"/>
      <c r="O52" s="91"/>
      <c r="P52" s="91"/>
      <c r="Q52" s="91"/>
      <c r="R52" s="91"/>
      <c r="S52" s="91"/>
      <c r="T52" s="91"/>
      <c r="U52" s="91"/>
      <c r="V52" s="91"/>
      <c r="W52" s="91"/>
      <c r="X52" s="91"/>
      <c r="Y52" s="91"/>
      <c r="Z52" s="91"/>
      <c r="AA52" s="91"/>
      <c r="AB52" s="91"/>
      <c r="AC52" s="91"/>
    </row>
    <row r="53" ht="14.25" customHeight="1">
      <c r="A53" s="91"/>
      <c r="B53" s="91"/>
      <c r="C53" s="91"/>
      <c r="D53" s="91"/>
      <c r="E53" s="91"/>
      <c r="F53" s="91"/>
      <c r="G53" s="91"/>
      <c r="H53" s="91"/>
      <c r="I53" s="91"/>
      <c r="J53" s="91"/>
      <c r="K53" s="91"/>
      <c r="L53" s="91"/>
      <c r="M53" s="91"/>
      <c r="N53" s="91"/>
      <c r="O53" s="91"/>
      <c r="P53" s="91"/>
      <c r="Q53" s="91"/>
      <c r="R53" s="91"/>
      <c r="S53" s="91"/>
      <c r="T53" s="91"/>
      <c r="U53" s="91"/>
      <c r="V53" s="91"/>
      <c r="W53" s="91"/>
      <c r="X53" s="91"/>
      <c r="Y53" s="91"/>
      <c r="Z53" s="91"/>
      <c r="AA53" s="91"/>
      <c r="AB53" s="91"/>
      <c r="AC53" s="91"/>
    </row>
    <row r="54" ht="14.25" customHeight="1">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c r="AA54" s="91"/>
      <c r="AB54" s="91"/>
      <c r="AC54" s="91"/>
    </row>
    <row r="55" ht="14.25" customHeight="1">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c r="AA55" s="91"/>
      <c r="AB55" s="91"/>
      <c r="AC55" s="91"/>
    </row>
    <row r="56" ht="14.25" customHeight="1">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c r="AA56" s="91"/>
      <c r="AB56" s="91"/>
      <c r="AC56" s="91"/>
    </row>
    <row r="57" ht="14.25" customHeight="1">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c r="AA57" s="91"/>
      <c r="AB57" s="91"/>
      <c r="AC57" s="91"/>
    </row>
    <row r="58" ht="14.25" customHeight="1">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c r="AA58" s="91"/>
      <c r="AB58" s="91"/>
      <c r="AC58" s="91"/>
    </row>
    <row r="59" ht="14.25" customHeight="1">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c r="AA59" s="91"/>
      <c r="AB59" s="91"/>
      <c r="AC59" s="91"/>
    </row>
    <row r="60" ht="14.25" customHeight="1">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c r="AA60" s="91"/>
      <c r="AB60" s="91"/>
      <c r="AC60" s="91"/>
    </row>
    <row r="61" ht="14.25" customHeight="1">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c r="AA61" s="91"/>
      <c r="AB61" s="91"/>
      <c r="AC61" s="91"/>
    </row>
    <row r="62" ht="14.25" customHeight="1">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c r="AA62" s="91"/>
      <c r="AB62" s="91"/>
      <c r="AC62" s="91"/>
    </row>
    <row r="63" ht="14.25" customHeight="1">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c r="AA63" s="91"/>
      <c r="AB63" s="91"/>
      <c r="AC63" s="91"/>
    </row>
    <row r="64" ht="14.25" customHeight="1">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row>
    <row r="65" ht="14.25" customHeight="1">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c r="AA65" s="91"/>
      <c r="AB65" s="91"/>
      <c r="AC65" s="91"/>
    </row>
    <row r="66" ht="14.25" customHeight="1">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c r="AA66" s="91"/>
      <c r="AB66" s="91"/>
      <c r="AC66" s="91"/>
    </row>
    <row r="67" ht="14.25" customHeight="1">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c r="AA67" s="91"/>
      <c r="AB67" s="91"/>
      <c r="AC67" s="91"/>
    </row>
    <row r="68" ht="14.25" customHeight="1">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row>
    <row r="69" ht="14.25" customHeight="1">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c r="AA69" s="91"/>
      <c r="AB69" s="91"/>
      <c r="AC69" s="91"/>
    </row>
    <row r="70" ht="14.25" customHeight="1">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c r="AA70" s="91"/>
      <c r="AB70" s="91"/>
      <c r="AC70" s="91"/>
    </row>
    <row r="71" ht="14.25" customHeight="1">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c r="AA71" s="91"/>
      <c r="AB71" s="91"/>
      <c r="AC71" s="91"/>
    </row>
    <row r="72" ht="14.25" customHeight="1">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c r="AA72" s="91"/>
      <c r="AB72" s="91"/>
      <c r="AC72" s="91"/>
    </row>
    <row r="73" ht="14.25" customHeight="1">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c r="AA73" s="91"/>
      <c r="AB73" s="91"/>
      <c r="AC73" s="91"/>
    </row>
    <row r="74" ht="14.25" customHeight="1">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c r="AA74" s="91"/>
      <c r="AB74" s="91"/>
      <c r="AC74" s="91"/>
    </row>
    <row r="75" ht="14.25" customHeight="1">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c r="AA75" s="91"/>
      <c r="AB75" s="91"/>
      <c r="AC75" s="91"/>
    </row>
    <row r="76" ht="14.25" customHeight="1">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c r="AA76" s="91"/>
      <c r="AB76" s="91"/>
      <c r="AC76" s="91"/>
    </row>
    <row r="77" ht="14.25" customHeight="1">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c r="AA77" s="91"/>
      <c r="AB77" s="91"/>
      <c r="AC77" s="91"/>
    </row>
    <row r="78" ht="14.25" customHeight="1">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c r="AA78" s="91"/>
      <c r="AB78" s="91"/>
      <c r="AC78" s="91"/>
    </row>
    <row r="79" ht="14.25" customHeight="1">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c r="AA79" s="91"/>
      <c r="AB79" s="91"/>
      <c r="AC79" s="91"/>
    </row>
    <row r="80" ht="14.25" customHeight="1">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c r="AA80" s="91"/>
      <c r="AB80" s="91"/>
      <c r="AC80" s="91"/>
    </row>
    <row r="81" ht="14.25" customHeight="1">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c r="AA81" s="91"/>
      <c r="AB81" s="91"/>
      <c r="AC81" s="91"/>
    </row>
    <row r="82" ht="14.25" customHeight="1">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c r="AA82" s="91"/>
      <c r="AB82" s="91"/>
      <c r="AC82" s="91"/>
    </row>
    <row r="83" ht="14.25" customHeight="1">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c r="AA83" s="91"/>
      <c r="AB83" s="91"/>
      <c r="AC83" s="91"/>
    </row>
    <row r="84" ht="14.25" customHeight="1">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c r="AA84" s="91"/>
      <c r="AB84" s="91"/>
      <c r="AC84" s="91"/>
    </row>
    <row r="85" ht="14.25" customHeight="1">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c r="AA85" s="91"/>
      <c r="AB85" s="91"/>
      <c r="AC85" s="91"/>
    </row>
    <row r="86" ht="14.25" customHeight="1">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c r="AA86" s="91"/>
      <c r="AB86" s="91"/>
      <c r="AC86" s="91"/>
    </row>
    <row r="87" ht="14.25" customHeight="1">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c r="AA87" s="91"/>
      <c r="AB87" s="91"/>
      <c r="AC87" s="91"/>
    </row>
    <row r="88" ht="14.25" customHeight="1">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c r="AA88" s="91"/>
      <c r="AB88" s="91"/>
      <c r="AC88" s="91"/>
    </row>
    <row r="89" ht="14.25" customHeight="1">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c r="AA89" s="91"/>
      <c r="AB89" s="91"/>
      <c r="AC89" s="91"/>
    </row>
    <row r="90" ht="14.25" customHeight="1">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c r="AA90" s="91"/>
      <c r="AB90" s="91"/>
      <c r="AC90" s="91"/>
    </row>
    <row r="91" ht="14.25" customHeight="1">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c r="AA91" s="91"/>
      <c r="AB91" s="91"/>
      <c r="AC91" s="91"/>
    </row>
    <row r="92" ht="14.25" customHeight="1">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c r="AA92" s="91"/>
      <c r="AB92" s="91"/>
      <c r="AC92" s="91"/>
    </row>
    <row r="93" ht="14.25" customHeight="1">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c r="AA93" s="91"/>
      <c r="AB93" s="91"/>
      <c r="AC93" s="91"/>
    </row>
    <row r="94" ht="14.25" customHeight="1">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c r="AA94" s="91"/>
      <c r="AB94" s="91"/>
      <c r="AC94" s="91"/>
    </row>
    <row r="95" ht="14.25" customHeight="1">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c r="AA95" s="91"/>
      <c r="AB95" s="91"/>
      <c r="AC95" s="91"/>
    </row>
    <row r="96" ht="14.25" customHeight="1">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c r="AA96" s="91"/>
      <c r="AB96" s="91"/>
      <c r="AC96" s="91"/>
    </row>
    <row r="97" ht="14.25" customHeight="1">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c r="AA97" s="91"/>
      <c r="AB97" s="91"/>
      <c r="AC97" s="91"/>
    </row>
    <row r="98" ht="14.25" customHeight="1">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c r="AA98" s="91"/>
      <c r="AB98" s="91"/>
      <c r="AC98" s="91"/>
    </row>
    <row r="99" ht="14.25" customHeight="1">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c r="AA99" s="91"/>
      <c r="AB99" s="91"/>
      <c r="AC99" s="91"/>
    </row>
    <row r="100" ht="14.2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row>
  </sheetData>
  <mergeCells count="33">
    <mergeCell ref="K18:S18"/>
    <mergeCell ref="J14:S16"/>
    <mergeCell ref="G15:H15"/>
    <mergeCell ref="G16:H16"/>
    <mergeCell ref="G25:H25"/>
    <mergeCell ref="G26:H26"/>
    <mergeCell ref="G22:H22"/>
    <mergeCell ref="G23:H23"/>
    <mergeCell ref="G17:H17"/>
    <mergeCell ref="G24:H24"/>
    <mergeCell ref="C8:D8"/>
    <mergeCell ref="C9:D9"/>
    <mergeCell ref="A6:A7"/>
    <mergeCell ref="C7:D7"/>
    <mergeCell ref="C4:D4"/>
    <mergeCell ref="E2:I2"/>
    <mergeCell ref="L2:Q2"/>
    <mergeCell ref="R2:W2"/>
    <mergeCell ref="A1:AI1"/>
    <mergeCell ref="X2:AC2"/>
    <mergeCell ref="C11:D11"/>
    <mergeCell ref="C10:D10"/>
    <mergeCell ref="A10:A11"/>
    <mergeCell ref="C12:D12"/>
    <mergeCell ref="F13:K13"/>
    <mergeCell ref="E19:J19"/>
    <mergeCell ref="E18:J18"/>
    <mergeCell ref="E20:J21"/>
    <mergeCell ref="K19:S21"/>
    <mergeCell ref="AD2:AI2"/>
    <mergeCell ref="C5:D5"/>
    <mergeCell ref="C6:D6"/>
    <mergeCell ref="G14:H14"/>
  </mergeCells>
  <conditionalFormatting sqref="J2:J12 J27:J100">
    <cfRule type="cellIs" dxfId="4" priority="1" operator="between">
      <formula>0.75</formula>
      <formula>1</formula>
    </cfRule>
  </conditionalFormatting>
  <conditionalFormatting sqref="J2:J12 J27:J100">
    <cfRule type="cellIs" dxfId="5" priority="2" operator="between">
      <formula>0.5</formula>
      <formula>0.75</formula>
    </cfRule>
  </conditionalFormatting>
  <conditionalFormatting sqref="J2:J12 J27:J100">
    <cfRule type="cellIs" dxfId="3" priority="3" operator="between">
      <formula>0</formula>
      <formula>0.5</formula>
    </cfRule>
  </conditionalFormatting>
  <conditionalFormatting sqref="P5:P10 P12">
    <cfRule type="cellIs" dxfId="4" priority="4" operator="greaterThan">
      <formula>0.74</formula>
    </cfRule>
  </conditionalFormatting>
  <conditionalFormatting sqref="P5:P10 P12">
    <cfRule type="cellIs" dxfId="3" priority="5" operator="lessThan">
      <formula>0.5</formula>
    </cfRule>
  </conditionalFormatting>
  <conditionalFormatting sqref="P5:P10 P12">
    <cfRule type="cellIs" dxfId="4" priority="6" operator="greaterThan">
      <formula>74</formula>
    </cfRule>
  </conditionalFormatting>
  <conditionalFormatting sqref="P5:P10 P12">
    <cfRule type="cellIs" dxfId="9" priority="7" operator="greaterThan">
      <formula>0.5</formula>
    </cfRule>
  </conditionalFormatting>
  <conditionalFormatting sqref="P11">
    <cfRule type="cellIs" dxfId="4" priority="8" operator="between">
      <formula>0.75</formula>
      <formula>1</formula>
    </cfRule>
  </conditionalFormatting>
  <conditionalFormatting sqref="P11">
    <cfRule type="cellIs" dxfId="5" priority="9" operator="between">
      <formula>0.5</formula>
      <formula>0.75</formula>
    </cfRule>
  </conditionalFormatting>
  <conditionalFormatting sqref="P11">
    <cfRule type="cellIs" dxfId="3" priority="10" operator="between">
      <formula>0</formula>
      <formula>0.5</formula>
    </cfRule>
  </conditionalFormatting>
  <conditionalFormatting sqref="V5:V10 V12 AH5:AH9">
    <cfRule type="cellIs" dxfId="5" priority="11" operator="lessThan">
      <formula>0.75</formula>
    </cfRule>
  </conditionalFormatting>
  <conditionalFormatting sqref="V5:V10 V12">
    <cfRule type="cellIs" dxfId="10" priority="12" operator="lessThan">
      <formula>0.5</formula>
    </cfRule>
  </conditionalFormatting>
  <conditionalFormatting sqref="V5:V10 V12">
    <cfRule type="cellIs" dxfId="4" priority="13" operator="greaterThan">
      <formula>0.74</formula>
    </cfRule>
  </conditionalFormatting>
  <conditionalFormatting sqref="V11">
    <cfRule type="cellIs" dxfId="4" priority="14" operator="between">
      <formula>0.75</formula>
      <formula>1</formula>
    </cfRule>
  </conditionalFormatting>
  <conditionalFormatting sqref="V11">
    <cfRule type="cellIs" dxfId="5" priority="15" operator="between">
      <formula>0.5</formula>
      <formula>0.75</formula>
    </cfRule>
  </conditionalFormatting>
  <conditionalFormatting sqref="V11">
    <cfRule type="cellIs" dxfId="3" priority="16" operator="between">
      <formula>0</formula>
      <formula>0.5</formula>
    </cfRule>
  </conditionalFormatting>
  <conditionalFormatting sqref="AB5:AB10 AB12">
    <cfRule type="cellIs" dxfId="4" priority="17" operator="greaterThan">
      <formula>0.74</formula>
    </cfRule>
  </conditionalFormatting>
  <conditionalFormatting sqref="AB5:AB10 AB12">
    <cfRule type="cellIs" dxfId="5" priority="18" operator="lessThan">
      <formula>0.75</formula>
    </cfRule>
  </conditionalFormatting>
  <conditionalFormatting sqref="AB5:AB10 AB12">
    <cfRule type="cellIs" dxfId="10" priority="19" operator="lessThan">
      <formula>0.5</formula>
    </cfRule>
  </conditionalFormatting>
  <conditionalFormatting sqref="AB5:AB10 AB12">
    <cfRule type="cellIs" dxfId="10" priority="20" operator="lessThan">
      <formula>0.5</formula>
    </cfRule>
  </conditionalFormatting>
  <conditionalFormatting sqref="AB11">
    <cfRule type="cellIs" dxfId="4" priority="21" operator="between">
      <formula>0.75</formula>
      <formula>1</formula>
    </cfRule>
  </conditionalFormatting>
  <conditionalFormatting sqref="AB11">
    <cfRule type="cellIs" dxfId="5" priority="22" operator="between">
      <formula>0.5</formula>
      <formula>0.75</formula>
    </cfRule>
  </conditionalFormatting>
  <conditionalFormatting sqref="AB11">
    <cfRule type="cellIs" dxfId="3" priority="23" operator="between">
      <formula>0</formula>
      <formula>0.5</formula>
    </cfRule>
  </conditionalFormatting>
  <conditionalFormatting sqref="V5:V10 V12 AH5:AH9">
    <cfRule type="cellIs" dxfId="10" priority="24" operator="lessThan">
      <formula>0.5</formula>
    </cfRule>
  </conditionalFormatting>
  <conditionalFormatting sqref="AH5:AH10 AH12">
    <cfRule type="cellIs" dxfId="4" priority="25" operator="greaterThan">
      <formula>0.74</formula>
    </cfRule>
  </conditionalFormatting>
  <conditionalFormatting sqref="AH5:AH10 AH12">
    <cfRule type="cellIs" dxfId="10" priority="26" operator="lessThan">
      <formula>0.5</formula>
    </cfRule>
  </conditionalFormatting>
  <conditionalFormatting sqref="AH10 AH12">
    <cfRule type="cellIs" dxfId="10" priority="27" operator="lessThan">
      <formula>0.5</formula>
    </cfRule>
  </conditionalFormatting>
  <conditionalFormatting sqref="AH10 AH12">
    <cfRule type="cellIs" dxfId="5" priority="28" operator="lessThan">
      <formula>0.75</formula>
    </cfRule>
  </conditionalFormatting>
  <conditionalFormatting sqref="AH11">
    <cfRule type="cellIs" dxfId="4" priority="29" operator="between">
      <formula>0.75</formula>
      <formula>1</formula>
    </cfRule>
  </conditionalFormatting>
  <conditionalFormatting sqref="AH11">
    <cfRule type="cellIs" dxfId="5" priority="30" operator="between">
      <formula>0.5</formula>
      <formula>0.75</formula>
    </cfRule>
  </conditionalFormatting>
  <conditionalFormatting sqref="AH11">
    <cfRule type="cellIs" dxfId="3" priority="31" operator="between">
      <formula>0</formula>
      <formula>0.5</formula>
    </cfRule>
  </conditionalFormatting>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8.86"/>
    <col customWidth="1" min="3" max="3" width="16.14"/>
    <col customWidth="1" min="4" max="4" width="14.86"/>
    <col customWidth="1" min="5" max="5" width="6.57"/>
    <col customWidth="1" min="6" max="6" width="6.0"/>
    <col customWidth="1" min="7" max="7" width="9.14"/>
    <col customWidth="1" min="8" max="8" width="6.86"/>
    <col customWidth="1" min="9" max="10" width="7.43"/>
    <col customWidth="1" min="11" max="11" width="6.57"/>
    <col customWidth="1" min="12" max="12" width="6.0"/>
    <col customWidth="1" min="13" max="13" width="9.14"/>
    <col customWidth="1" min="14" max="14" width="6.86"/>
    <col customWidth="1" min="15" max="16" width="7.43"/>
    <col customWidth="1" min="17" max="17" width="6.57"/>
    <col customWidth="1" min="18" max="18" width="6.0"/>
    <col customWidth="1" min="19" max="19" width="14.0"/>
    <col customWidth="1" min="20" max="20" width="9.0"/>
    <col customWidth="1" min="21" max="24" width="7.43"/>
    <col customWidth="1" min="25" max="25" width="14.0"/>
    <col customWidth="1" min="26" max="26" width="9.0"/>
    <col customWidth="1" min="27" max="28" width="7.43"/>
    <col customWidth="1" min="29" max="29" width="6.57"/>
    <col customWidth="1" min="30" max="30" width="6.0"/>
    <col customWidth="1" min="31" max="31" width="14.0"/>
    <col customWidth="1" min="32" max="32" width="9.0"/>
    <col customWidth="1" min="33" max="34" width="7.43"/>
    <col customWidth="1" min="35" max="35" width="6.57"/>
    <col customWidth="1" min="36" max="36" width="6.0"/>
    <col customWidth="1" min="37" max="37" width="14.0"/>
    <col customWidth="1" min="38" max="38" width="9.0"/>
    <col customWidth="1" min="39" max="40" width="7.43"/>
  </cols>
  <sheetData>
    <row r="1" ht="14.25" customHeight="1">
      <c r="A1" s="139" t="s">
        <v>126</v>
      </c>
      <c r="B1" s="2"/>
      <c r="C1" s="2"/>
      <c r="D1" s="2"/>
      <c r="E1" s="2"/>
      <c r="F1" s="2"/>
      <c r="G1" s="2"/>
      <c r="H1" s="2"/>
      <c r="I1" s="2"/>
      <c r="J1" s="2"/>
      <c r="K1" s="2"/>
      <c r="L1" s="2"/>
      <c r="M1" s="2"/>
      <c r="N1" s="2"/>
      <c r="O1" s="2"/>
      <c r="P1" s="2"/>
      <c r="Q1" s="2"/>
      <c r="R1" s="2"/>
      <c r="S1" s="2"/>
      <c r="T1" s="2"/>
      <c r="U1" s="2"/>
      <c r="V1" s="2"/>
      <c r="W1" s="2"/>
      <c r="X1" s="2"/>
      <c r="Y1" s="2"/>
      <c r="Z1" s="2"/>
      <c r="AA1" s="2"/>
      <c r="AB1" s="3"/>
    </row>
    <row r="2" ht="14.25" customHeight="1">
      <c r="A2" s="7"/>
      <c r="B2" s="2"/>
      <c r="C2" s="2"/>
      <c r="D2" s="7" t="s">
        <v>1</v>
      </c>
      <c r="E2" s="2"/>
      <c r="F2" s="2"/>
      <c r="G2" s="2"/>
      <c r="H2" s="2"/>
      <c r="I2" s="2"/>
      <c r="J2" s="3"/>
      <c r="K2" s="7" t="s">
        <v>2</v>
      </c>
      <c r="L2" s="2"/>
      <c r="M2" s="2"/>
      <c r="N2" s="2"/>
      <c r="O2" s="2"/>
      <c r="P2" s="3"/>
      <c r="Q2" s="7" t="s">
        <v>3</v>
      </c>
      <c r="R2" s="2"/>
      <c r="S2" s="2"/>
      <c r="T2" s="2"/>
      <c r="U2" s="2"/>
      <c r="V2" s="3"/>
      <c r="W2" s="7" t="s">
        <v>127</v>
      </c>
      <c r="X2" s="2"/>
      <c r="Y2" s="2"/>
      <c r="Z2" s="2"/>
      <c r="AA2" s="2"/>
      <c r="AB2" s="3"/>
      <c r="AC2" s="7" t="s">
        <v>128</v>
      </c>
      <c r="AD2" s="2"/>
      <c r="AE2" s="2"/>
      <c r="AF2" s="2"/>
      <c r="AG2" s="2"/>
      <c r="AH2" s="3"/>
      <c r="AI2" s="7" t="s">
        <v>96</v>
      </c>
      <c r="AJ2" s="2"/>
      <c r="AK2" s="2"/>
      <c r="AL2" s="2"/>
      <c r="AM2" s="2"/>
      <c r="AN2" s="3"/>
    </row>
    <row r="3" ht="14.25" customHeight="1">
      <c r="A3" s="4" t="s">
        <v>33</v>
      </c>
      <c r="B3" s="27" t="s">
        <v>34</v>
      </c>
      <c r="C3" s="27" t="s">
        <v>35</v>
      </c>
      <c r="D3" s="4" t="s">
        <v>97</v>
      </c>
      <c r="E3" s="4" t="s">
        <v>38</v>
      </c>
      <c r="F3" s="4" t="s">
        <v>39</v>
      </c>
      <c r="G3" s="140" t="s">
        <v>129</v>
      </c>
      <c r="H3" s="27" t="s">
        <v>37</v>
      </c>
      <c r="I3" s="7" t="s">
        <v>41</v>
      </c>
      <c r="J3" s="3"/>
      <c r="K3" s="4" t="s">
        <v>38</v>
      </c>
      <c r="L3" s="4" t="s">
        <v>39</v>
      </c>
      <c r="M3" s="31" t="s">
        <v>129</v>
      </c>
      <c r="N3" s="31" t="s">
        <v>37</v>
      </c>
      <c r="O3" s="7" t="s">
        <v>41</v>
      </c>
      <c r="P3" s="3"/>
      <c r="Q3" s="4" t="s">
        <v>38</v>
      </c>
      <c r="R3" s="4" t="s">
        <v>39</v>
      </c>
      <c r="S3" s="31" t="s">
        <v>40</v>
      </c>
      <c r="T3" s="31" t="s">
        <v>130</v>
      </c>
      <c r="U3" s="7" t="s">
        <v>41</v>
      </c>
      <c r="V3" s="3"/>
      <c r="W3" s="4" t="s">
        <v>38</v>
      </c>
      <c r="X3" s="4" t="s">
        <v>39</v>
      </c>
      <c r="Y3" s="31" t="s">
        <v>40</v>
      </c>
      <c r="Z3" s="31" t="s">
        <v>37</v>
      </c>
      <c r="AA3" s="7" t="s">
        <v>41</v>
      </c>
      <c r="AB3" s="3"/>
      <c r="AC3" s="4" t="s">
        <v>38</v>
      </c>
      <c r="AD3" s="4" t="s">
        <v>39</v>
      </c>
      <c r="AE3" s="31" t="s">
        <v>40</v>
      </c>
      <c r="AF3" s="31" t="s">
        <v>37</v>
      </c>
      <c r="AG3" s="7" t="s">
        <v>41</v>
      </c>
      <c r="AH3" s="3"/>
      <c r="AI3" s="4" t="s">
        <v>38</v>
      </c>
      <c r="AJ3" s="4" t="s">
        <v>39</v>
      </c>
      <c r="AK3" s="31" t="s">
        <v>40</v>
      </c>
      <c r="AL3" s="31" t="s">
        <v>37</v>
      </c>
      <c r="AM3" s="7" t="s">
        <v>41</v>
      </c>
      <c r="AN3" s="3"/>
    </row>
    <row r="4" ht="14.25" customHeight="1">
      <c r="A4" s="54" t="s">
        <v>46</v>
      </c>
      <c r="B4" s="49" t="s">
        <v>131</v>
      </c>
      <c r="C4" s="70" t="s">
        <v>132</v>
      </c>
      <c r="D4" s="54">
        <v>24.0</v>
      </c>
      <c r="E4" s="54">
        <v>20.0</v>
      </c>
      <c r="F4" s="54">
        <v>4.0</v>
      </c>
      <c r="G4" s="54">
        <v>24.0</v>
      </c>
      <c r="H4" s="54">
        <v>0.0</v>
      </c>
      <c r="I4" s="141" t="str">
        <f t="shared" ref="I4:I11" si="1">(E4/G4)</f>
        <v>83%</v>
      </c>
      <c r="J4" s="32" t="str">
        <f t="shared" ref="J4:J11" si="2">(F4/G4)</f>
        <v>17%</v>
      </c>
      <c r="K4" s="54">
        <v>16.0</v>
      </c>
      <c r="L4" s="54">
        <v>8.0</v>
      </c>
      <c r="M4" s="54">
        <v>24.0</v>
      </c>
      <c r="N4" s="54">
        <v>0.0</v>
      </c>
      <c r="O4" s="141" t="str">
        <f t="shared" ref="O4:O11" si="3">(K4/M4)</f>
        <v>67%</v>
      </c>
      <c r="P4" s="32" t="str">
        <f t="shared" ref="P4:P11" si="4">(L4/M4)</f>
        <v>33%</v>
      </c>
      <c r="Q4" s="54">
        <v>16.0</v>
      </c>
      <c r="R4" s="54">
        <v>8.0</v>
      </c>
      <c r="S4" s="54">
        <v>24.0</v>
      </c>
      <c r="T4" s="54">
        <v>0.0</v>
      </c>
      <c r="U4" s="141" t="str">
        <f t="shared" ref="U4:U11" si="5">(Q4/S4)</f>
        <v>67%</v>
      </c>
      <c r="V4" s="32" t="str">
        <f t="shared" ref="V4:V11" si="6">(R4/S4)</f>
        <v>33%</v>
      </c>
      <c r="W4" s="54">
        <v>11.0</v>
      </c>
      <c r="X4" s="54">
        <v>12.0</v>
      </c>
      <c r="Y4" s="54">
        <v>23.0</v>
      </c>
      <c r="Z4" s="54">
        <v>1.0</v>
      </c>
      <c r="AA4" s="141" t="str">
        <f t="shared" ref="AA4:AA11" si="7">(W4/Y4)</f>
        <v>48%</v>
      </c>
      <c r="AB4" s="32" t="str">
        <f>(X4/Y4)</f>
        <v>52%</v>
      </c>
      <c r="AC4" s="54">
        <v>9.0</v>
      </c>
      <c r="AD4" s="54">
        <v>14.0</v>
      </c>
      <c r="AE4" s="54">
        <v>23.0</v>
      </c>
      <c r="AF4" s="54">
        <v>1.0</v>
      </c>
      <c r="AG4" s="141" t="str">
        <f t="shared" ref="AG4:AG11" si="8">(AC4/AE4)</f>
        <v>39%</v>
      </c>
      <c r="AH4" s="32" t="str">
        <f t="shared" ref="AH4:AH11" si="9">(AD4/AE4)</f>
        <v>61%</v>
      </c>
      <c r="AI4" s="54">
        <v>17.0</v>
      </c>
      <c r="AJ4" s="54">
        <v>7.0</v>
      </c>
      <c r="AK4" s="54">
        <v>24.0</v>
      </c>
      <c r="AL4" s="54">
        <v>0.0</v>
      </c>
      <c r="AM4" s="141" t="str">
        <f t="shared" ref="AM4:AM11" si="10">(AI4/AK4)</f>
        <v>71%</v>
      </c>
      <c r="AN4" s="32" t="str">
        <f t="shared" ref="AN4:AN11" si="11">(AJ4/AK4)</f>
        <v>29%</v>
      </c>
    </row>
    <row r="5" ht="14.25" customHeight="1">
      <c r="A5" s="54"/>
      <c r="B5" s="49" t="s">
        <v>133</v>
      </c>
      <c r="C5" s="70" t="s">
        <v>134</v>
      </c>
      <c r="D5" s="54">
        <v>21.0</v>
      </c>
      <c r="E5" s="54">
        <v>21.0</v>
      </c>
      <c r="F5" s="54">
        <v>0.0</v>
      </c>
      <c r="G5" s="54">
        <v>21.0</v>
      </c>
      <c r="H5" s="54">
        <v>0.0</v>
      </c>
      <c r="I5" s="141" t="str">
        <f t="shared" si="1"/>
        <v>100%</v>
      </c>
      <c r="J5" s="32" t="str">
        <f t="shared" si="2"/>
        <v>0%</v>
      </c>
      <c r="K5" s="54">
        <v>20.0</v>
      </c>
      <c r="L5" s="54">
        <v>0.0</v>
      </c>
      <c r="M5" s="54">
        <v>20.0</v>
      </c>
      <c r="N5" s="54">
        <v>1.0</v>
      </c>
      <c r="O5" s="141" t="str">
        <f t="shared" si="3"/>
        <v>100%</v>
      </c>
      <c r="P5" s="32" t="str">
        <f t="shared" si="4"/>
        <v>0%</v>
      </c>
      <c r="Q5" s="54">
        <v>17.0</v>
      </c>
      <c r="R5" s="54">
        <v>1.0</v>
      </c>
      <c r="S5" s="54">
        <v>18.0</v>
      </c>
      <c r="T5" s="54">
        <v>3.0</v>
      </c>
      <c r="U5" s="141" t="str">
        <f t="shared" si="5"/>
        <v>94%</v>
      </c>
      <c r="V5" s="32" t="str">
        <f t="shared" si="6"/>
        <v>6%</v>
      </c>
      <c r="W5" s="54">
        <v>15.0</v>
      </c>
      <c r="X5" s="54">
        <v>2.0</v>
      </c>
      <c r="Y5" s="54">
        <v>17.0</v>
      </c>
      <c r="Z5" s="54">
        <v>4.0</v>
      </c>
      <c r="AA5" s="141" t="str">
        <f t="shared" si="7"/>
        <v>88%</v>
      </c>
      <c r="AB5" s="32"/>
      <c r="AC5" s="54">
        <v>16.0</v>
      </c>
      <c r="AD5" s="54">
        <v>2.0</v>
      </c>
      <c r="AE5" s="54">
        <v>18.0</v>
      </c>
      <c r="AF5" s="54">
        <v>3.0</v>
      </c>
      <c r="AG5" s="141" t="str">
        <f t="shared" si="8"/>
        <v>89%</v>
      </c>
      <c r="AH5" s="32" t="str">
        <f t="shared" si="9"/>
        <v>11%</v>
      </c>
      <c r="AI5" s="54">
        <v>20.0</v>
      </c>
      <c r="AJ5" s="54">
        <v>0.0</v>
      </c>
      <c r="AK5" s="54">
        <v>20.0</v>
      </c>
      <c r="AL5" s="54">
        <v>1.0</v>
      </c>
      <c r="AM5" s="141" t="str">
        <f t="shared" si="10"/>
        <v>100%</v>
      </c>
      <c r="AN5" s="32" t="str">
        <f t="shared" si="11"/>
        <v>0%</v>
      </c>
    </row>
    <row r="6" ht="14.25" customHeight="1">
      <c r="A6" s="49" t="s">
        <v>135</v>
      </c>
      <c r="B6" s="49">
        <v>4.0</v>
      </c>
      <c r="C6" s="70" t="s">
        <v>136</v>
      </c>
      <c r="D6" s="54">
        <v>24.0</v>
      </c>
      <c r="E6" s="54">
        <v>13.0</v>
      </c>
      <c r="F6" s="54">
        <v>4.0</v>
      </c>
      <c r="G6" s="54">
        <v>17.0</v>
      </c>
      <c r="H6" s="54">
        <v>7.0</v>
      </c>
      <c r="I6" s="141" t="str">
        <f t="shared" si="1"/>
        <v>76%</v>
      </c>
      <c r="J6" s="32" t="str">
        <f t="shared" si="2"/>
        <v>24%</v>
      </c>
      <c r="K6" s="54">
        <v>15.0</v>
      </c>
      <c r="L6" s="54">
        <v>7.0</v>
      </c>
      <c r="M6" s="54">
        <v>22.0</v>
      </c>
      <c r="N6" s="54">
        <v>2.0</v>
      </c>
      <c r="O6" s="141" t="str">
        <f t="shared" si="3"/>
        <v>68%</v>
      </c>
      <c r="P6" s="32" t="str">
        <f t="shared" si="4"/>
        <v>32%</v>
      </c>
      <c r="Q6" s="54">
        <v>18.0</v>
      </c>
      <c r="R6" s="54">
        <v>5.0</v>
      </c>
      <c r="S6" s="54">
        <v>23.0</v>
      </c>
      <c r="T6" s="54">
        <v>1.0</v>
      </c>
      <c r="U6" s="141" t="str">
        <f t="shared" si="5"/>
        <v>78%</v>
      </c>
      <c r="V6" s="32" t="str">
        <f t="shared" si="6"/>
        <v>22%</v>
      </c>
      <c r="W6" s="54">
        <v>19.0</v>
      </c>
      <c r="X6" s="54">
        <v>4.0</v>
      </c>
      <c r="Y6" s="54">
        <v>23.0</v>
      </c>
      <c r="Z6" s="54">
        <v>1.0</v>
      </c>
      <c r="AA6" s="141" t="str">
        <f t="shared" si="7"/>
        <v>83%</v>
      </c>
      <c r="AB6" s="32" t="str">
        <f t="shared" ref="AB6:AB11" si="12">(X6/Y6)</f>
        <v>17%</v>
      </c>
      <c r="AC6" s="54">
        <v>14.0</v>
      </c>
      <c r="AD6" s="54">
        <v>9.0</v>
      </c>
      <c r="AE6" s="54">
        <v>23.0</v>
      </c>
      <c r="AF6" s="54">
        <v>1.0</v>
      </c>
      <c r="AG6" s="141" t="str">
        <f t="shared" si="8"/>
        <v>61%</v>
      </c>
      <c r="AH6" s="32" t="str">
        <f t="shared" si="9"/>
        <v>39%</v>
      </c>
      <c r="AI6" s="54">
        <v>19.0</v>
      </c>
      <c r="AJ6" s="54">
        <v>4.0</v>
      </c>
      <c r="AK6" s="54">
        <v>23.0</v>
      </c>
      <c r="AL6" s="54">
        <v>1.0</v>
      </c>
      <c r="AM6" s="141" t="str">
        <f t="shared" si="10"/>
        <v>83%</v>
      </c>
      <c r="AN6" s="32" t="str">
        <f t="shared" si="11"/>
        <v>17%</v>
      </c>
    </row>
    <row r="7" ht="14.25" customHeight="1">
      <c r="A7" s="142" t="s">
        <v>52</v>
      </c>
      <c r="B7" s="35">
        <v>4.0</v>
      </c>
      <c r="C7" s="34" t="s">
        <v>90</v>
      </c>
      <c r="D7" s="54">
        <v>22.0</v>
      </c>
      <c r="E7" s="54">
        <v>17.0</v>
      </c>
      <c r="F7" s="54">
        <v>5.0</v>
      </c>
      <c r="G7" s="54">
        <v>22.0</v>
      </c>
      <c r="H7" s="54">
        <v>0.0</v>
      </c>
      <c r="I7" s="141" t="str">
        <f t="shared" si="1"/>
        <v>77%</v>
      </c>
      <c r="J7" s="32" t="str">
        <f t="shared" si="2"/>
        <v>23%</v>
      </c>
      <c r="K7" s="54">
        <v>19.0</v>
      </c>
      <c r="L7" s="54">
        <v>3.0</v>
      </c>
      <c r="M7" s="54">
        <v>22.0</v>
      </c>
      <c r="N7" s="54">
        <v>0.0</v>
      </c>
      <c r="O7" s="141" t="str">
        <f t="shared" si="3"/>
        <v>86%</v>
      </c>
      <c r="P7" s="32" t="str">
        <f t="shared" si="4"/>
        <v>14%</v>
      </c>
      <c r="Q7" s="54">
        <v>17.0</v>
      </c>
      <c r="R7" s="54">
        <v>5.0</v>
      </c>
      <c r="S7" s="54">
        <v>22.0</v>
      </c>
      <c r="T7" s="54">
        <v>0.0</v>
      </c>
      <c r="U7" s="141" t="str">
        <f t="shared" si="5"/>
        <v>77%</v>
      </c>
      <c r="V7" s="32" t="str">
        <f t="shared" si="6"/>
        <v>23%</v>
      </c>
      <c r="W7" s="54">
        <v>14.0</v>
      </c>
      <c r="X7" s="54">
        <v>7.0</v>
      </c>
      <c r="Y7" s="54">
        <v>21.0</v>
      </c>
      <c r="Z7" s="54">
        <v>1.0</v>
      </c>
      <c r="AA7" s="141" t="str">
        <f t="shared" si="7"/>
        <v>67%</v>
      </c>
      <c r="AB7" s="32" t="str">
        <f t="shared" si="12"/>
        <v>33%</v>
      </c>
      <c r="AC7" s="54">
        <v>16.0</v>
      </c>
      <c r="AD7" s="54">
        <v>6.0</v>
      </c>
      <c r="AE7" s="54">
        <v>22.0</v>
      </c>
      <c r="AF7" s="54">
        <v>0.0</v>
      </c>
      <c r="AG7" s="141" t="str">
        <f t="shared" si="8"/>
        <v>73%</v>
      </c>
      <c r="AH7" s="32" t="str">
        <f t="shared" si="9"/>
        <v>27%</v>
      </c>
      <c r="AI7" s="54">
        <v>18.0</v>
      </c>
      <c r="AJ7" s="54">
        <v>3.0</v>
      </c>
      <c r="AK7" s="54">
        <v>21.0</v>
      </c>
      <c r="AL7" s="54">
        <v>1.0</v>
      </c>
      <c r="AM7" s="141" t="str">
        <f t="shared" si="10"/>
        <v>86%</v>
      </c>
      <c r="AN7" s="32" t="str">
        <f t="shared" si="11"/>
        <v>14%</v>
      </c>
    </row>
    <row r="8" ht="14.25" customHeight="1">
      <c r="A8" s="71"/>
      <c r="B8" s="71"/>
      <c r="C8" s="34" t="s">
        <v>137</v>
      </c>
      <c r="D8" s="54">
        <v>23.0</v>
      </c>
      <c r="E8" s="54">
        <v>19.0</v>
      </c>
      <c r="F8" s="54">
        <v>4.0</v>
      </c>
      <c r="G8" s="54">
        <v>23.0</v>
      </c>
      <c r="H8" s="54">
        <v>0.0</v>
      </c>
      <c r="I8" s="143" t="str">
        <f t="shared" si="1"/>
        <v>83%</v>
      </c>
      <c r="J8" s="32" t="str">
        <f t="shared" si="2"/>
        <v>17%</v>
      </c>
      <c r="K8" s="35">
        <v>20.0</v>
      </c>
      <c r="L8" s="35">
        <v>3.0</v>
      </c>
      <c r="M8" s="35">
        <v>23.0</v>
      </c>
      <c r="N8" s="35">
        <v>0.0</v>
      </c>
      <c r="O8" s="143" t="str">
        <f t="shared" si="3"/>
        <v>87%</v>
      </c>
      <c r="P8" s="43" t="str">
        <f t="shared" si="4"/>
        <v>13%</v>
      </c>
      <c r="Q8" s="35">
        <v>23.0</v>
      </c>
      <c r="R8" s="35">
        <v>0.0</v>
      </c>
      <c r="S8" s="35">
        <v>23.0</v>
      </c>
      <c r="T8" s="35">
        <v>0.0</v>
      </c>
      <c r="U8" s="143" t="str">
        <f t="shared" si="5"/>
        <v>100%</v>
      </c>
      <c r="V8" s="43" t="str">
        <f t="shared" si="6"/>
        <v>0%</v>
      </c>
      <c r="W8" s="35">
        <v>22.0</v>
      </c>
      <c r="X8" s="35">
        <v>1.0</v>
      </c>
      <c r="Y8" s="35">
        <v>23.0</v>
      </c>
      <c r="Z8" s="35">
        <v>0.0</v>
      </c>
      <c r="AA8" s="141" t="str">
        <f t="shared" si="7"/>
        <v>96%</v>
      </c>
      <c r="AB8" s="43" t="str">
        <f t="shared" si="12"/>
        <v>4%</v>
      </c>
      <c r="AC8" s="35">
        <v>21.0</v>
      </c>
      <c r="AD8" s="35">
        <v>2.0</v>
      </c>
      <c r="AE8" s="35">
        <v>23.0</v>
      </c>
      <c r="AF8" s="35">
        <v>0.0</v>
      </c>
      <c r="AG8" s="143" t="str">
        <f t="shared" si="8"/>
        <v>91%</v>
      </c>
      <c r="AH8" s="32" t="str">
        <f t="shared" si="9"/>
        <v>9%</v>
      </c>
      <c r="AI8" s="35">
        <v>21.0</v>
      </c>
      <c r="AJ8" s="35">
        <v>2.0</v>
      </c>
      <c r="AK8" s="35">
        <v>23.0</v>
      </c>
      <c r="AL8" s="35">
        <v>0.0</v>
      </c>
      <c r="AM8" s="143" t="str">
        <f t="shared" si="10"/>
        <v>91%</v>
      </c>
      <c r="AN8" s="43" t="str">
        <f t="shared" si="11"/>
        <v>9%</v>
      </c>
    </row>
    <row r="9" ht="14.25" customHeight="1">
      <c r="A9" s="35" t="s">
        <v>55</v>
      </c>
      <c r="B9" s="45">
        <v>4.0</v>
      </c>
      <c r="C9" s="142" t="s">
        <v>138</v>
      </c>
      <c r="D9" s="54">
        <v>11.0</v>
      </c>
      <c r="E9" s="54">
        <v>9.0</v>
      </c>
      <c r="F9" s="54">
        <v>2.0</v>
      </c>
      <c r="G9" s="54">
        <v>11.0</v>
      </c>
      <c r="H9" s="54">
        <v>0.0</v>
      </c>
      <c r="I9" s="143" t="str">
        <f t="shared" si="1"/>
        <v>82%</v>
      </c>
      <c r="J9" s="43" t="str">
        <f t="shared" si="2"/>
        <v>18%</v>
      </c>
      <c r="K9" s="35">
        <v>9.0</v>
      </c>
      <c r="L9" s="35">
        <v>2.0</v>
      </c>
      <c r="M9" s="35">
        <v>11.0</v>
      </c>
      <c r="N9" s="35">
        <v>0.0</v>
      </c>
      <c r="O9" s="143" t="str">
        <f t="shared" si="3"/>
        <v>82%</v>
      </c>
      <c r="P9" s="43" t="str">
        <f t="shared" si="4"/>
        <v>18%</v>
      </c>
      <c r="Q9" s="35">
        <v>10.0</v>
      </c>
      <c r="R9" s="35">
        <v>1.0</v>
      </c>
      <c r="S9" s="35">
        <v>11.0</v>
      </c>
      <c r="T9" s="35">
        <v>0.0</v>
      </c>
      <c r="U9" s="143" t="str">
        <f t="shared" si="5"/>
        <v>91%</v>
      </c>
      <c r="V9" s="43" t="str">
        <f t="shared" si="6"/>
        <v>9%</v>
      </c>
      <c r="W9" s="35">
        <v>10.0</v>
      </c>
      <c r="X9" s="35">
        <v>1.0</v>
      </c>
      <c r="Y9" s="35">
        <v>11.0</v>
      </c>
      <c r="Z9" s="35">
        <v>0.0</v>
      </c>
      <c r="AA9" s="141" t="str">
        <f t="shared" si="7"/>
        <v>91%</v>
      </c>
      <c r="AB9" s="43" t="str">
        <f t="shared" si="12"/>
        <v>9%</v>
      </c>
      <c r="AC9" s="35">
        <v>9.0</v>
      </c>
      <c r="AD9" s="35">
        <v>2.0</v>
      </c>
      <c r="AE9" s="35">
        <v>11.0</v>
      </c>
      <c r="AF9" s="35">
        <v>0.0</v>
      </c>
      <c r="AG9" s="143" t="str">
        <f t="shared" si="8"/>
        <v>82%</v>
      </c>
      <c r="AH9" s="43" t="str">
        <f t="shared" si="9"/>
        <v>18%</v>
      </c>
      <c r="AI9" s="35">
        <v>9.0</v>
      </c>
      <c r="AJ9" s="35">
        <v>2.0</v>
      </c>
      <c r="AK9" s="35">
        <v>11.0</v>
      </c>
      <c r="AL9" s="35">
        <v>0.0</v>
      </c>
      <c r="AM9" s="143" t="str">
        <f t="shared" si="10"/>
        <v>82%</v>
      </c>
      <c r="AN9" s="43" t="str">
        <f t="shared" si="11"/>
        <v>18%</v>
      </c>
    </row>
    <row r="10" ht="14.25" customHeight="1">
      <c r="A10" s="71"/>
      <c r="B10" s="71"/>
      <c r="C10" s="71"/>
      <c r="D10" s="64">
        <v>15.0</v>
      </c>
      <c r="E10" s="54">
        <v>14.0</v>
      </c>
      <c r="F10" s="54">
        <v>0.0</v>
      </c>
      <c r="G10" s="54">
        <v>14.0</v>
      </c>
      <c r="H10" s="54">
        <v>1.0</v>
      </c>
      <c r="I10" s="143" t="str">
        <f t="shared" si="1"/>
        <v>100%</v>
      </c>
      <c r="J10" s="43" t="str">
        <f t="shared" si="2"/>
        <v>0%</v>
      </c>
      <c r="K10" s="35">
        <v>14.0</v>
      </c>
      <c r="L10" s="35">
        <v>0.0</v>
      </c>
      <c r="M10" s="35">
        <v>14.0</v>
      </c>
      <c r="N10" s="35">
        <v>1.0</v>
      </c>
      <c r="O10" s="143" t="str">
        <f t="shared" si="3"/>
        <v>100%</v>
      </c>
      <c r="P10" s="43" t="str">
        <f t="shared" si="4"/>
        <v>0%</v>
      </c>
      <c r="Q10" s="35">
        <v>11.0</v>
      </c>
      <c r="R10" s="35">
        <v>2.0</v>
      </c>
      <c r="S10" s="35">
        <v>13.0</v>
      </c>
      <c r="T10" s="35">
        <v>2.0</v>
      </c>
      <c r="U10" s="143" t="str">
        <f t="shared" si="5"/>
        <v>85%</v>
      </c>
      <c r="V10" s="43" t="str">
        <f t="shared" si="6"/>
        <v>15%</v>
      </c>
      <c r="W10" s="35">
        <v>14.0</v>
      </c>
      <c r="X10" s="35">
        <v>0.0</v>
      </c>
      <c r="Y10" s="35">
        <v>14.0</v>
      </c>
      <c r="Z10" s="35">
        <v>0.0</v>
      </c>
      <c r="AA10" s="143" t="str">
        <f t="shared" si="7"/>
        <v>100%</v>
      </c>
      <c r="AB10" s="43" t="str">
        <f t="shared" si="12"/>
        <v>0%</v>
      </c>
      <c r="AC10" s="35">
        <v>15.0</v>
      </c>
      <c r="AD10" s="35">
        <v>0.0</v>
      </c>
      <c r="AE10" s="35">
        <v>15.0</v>
      </c>
      <c r="AF10" s="35">
        <v>0.0</v>
      </c>
      <c r="AG10" s="143" t="str">
        <f t="shared" si="8"/>
        <v>100%</v>
      </c>
      <c r="AH10" s="43" t="str">
        <f t="shared" si="9"/>
        <v>0%</v>
      </c>
      <c r="AI10" s="35">
        <v>14.0</v>
      </c>
      <c r="AJ10" s="35">
        <v>0.0</v>
      </c>
      <c r="AK10" s="35">
        <v>14.0</v>
      </c>
      <c r="AL10" s="35">
        <v>1.0</v>
      </c>
      <c r="AM10" s="143" t="str">
        <f t="shared" si="10"/>
        <v>100%</v>
      </c>
      <c r="AN10" s="43" t="str">
        <f t="shared" si="11"/>
        <v>0%</v>
      </c>
    </row>
    <row r="11" ht="14.25" customHeight="1">
      <c r="A11" s="49" t="s">
        <v>57</v>
      </c>
      <c r="B11" s="49">
        <v>4.0</v>
      </c>
      <c r="C11" s="34" t="s">
        <v>58</v>
      </c>
      <c r="D11" s="49">
        <v>32.0</v>
      </c>
      <c r="E11" s="49">
        <v>21.0</v>
      </c>
      <c r="F11" s="49">
        <v>9.0</v>
      </c>
      <c r="G11" s="54">
        <v>30.0</v>
      </c>
      <c r="H11" s="49">
        <v>2.0</v>
      </c>
      <c r="I11" s="141" t="str">
        <f t="shared" si="1"/>
        <v>70%</v>
      </c>
      <c r="J11" s="32" t="str">
        <f t="shared" si="2"/>
        <v>30%</v>
      </c>
      <c r="K11" s="49">
        <v>20.0</v>
      </c>
      <c r="L11" s="49">
        <v>8.0</v>
      </c>
      <c r="M11" s="54">
        <v>28.0</v>
      </c>
      <c r="N11" s="49">
        <v>4.0</v>
      </c>
      <c r="O11" s="141" t="str">
        <f t="shared" si="3"/>
        <v>71%</v>
      </c>
      <c r="P11" s="32" t="str">
        <f t="shared" si="4"/>
        <v>29%</v>
      </c>
      <c r="Q11" s="49">
        <v>19.0</v>
      </c>
      <c r="R11" s="49">
        <v>10.0</v>
      </c>
      <c r="S11" s="54">
        <v>29.0</v>
      </c>
      <c r="T11" s="49">
        <v>3.0</v>
      </c>
      <c r="U11" s="141" t="str">
        <f t="shared" si="5"/>
        <v>66%</v>
      </c>
      <c r="V11" s="43" t="str">
        <f t="shared" si="6"/>
        <v>34%</v>
      </c>
      <c r="W11" s="49">
        <v>17.0</v>
      </c>
      <c r="X11" s="49">
        <v>10.0</v>
      </c>
      <c r="Y11" s="54">
        <v>27.0</v>
      </c>
      <c r="Z11" s="49">
        <v>5.0</v>
      </c>
      <c r="AA11" s="141" t="str">
        <f t="shared" si="7"/>
        <v>63%</v>
      </c>
      <c r="AB11" s="32" t="str">
        <f t="shared" si="12"/>
        <v>37%</v>
      </c>
      <c r="AC11" s="49">
        <v>17.0</v>
      </c>
      <c r="AD11" s="49">
        <v>11.0</v>
      </c>
      <c r="AE11" s="49">
        <v>28.0</v>
      </c>
      <c r="AF11" s="49">
        <v>4.0</v>
      </c>
      <c r="AG11" s="141" t="str">
        <f t="shared" si="8"/>
        <v>61%</v>
      </c>
      <c r="AH11" s="32" t="str">
        <f t="shared" si="9"/>
        <v>39%</v>
      </c>
      <c r="AI11" s="49">
        <v>19.0</v>
      </c>
      <c r="AJ11" s="49">
        <v>7.0</v>
      </c>
      <c r="AK11" s="49">
        <v>26.0</v>
      </c>
      <c r="AL11" s="49">
        <v>6.0</v>
      </c>
      <c r="AM11" s="141" t="str">
        <f t="shared" si="10"/>
        <v>73%</v>
      </c>
      <c r="AN11" s="32" t="str">
        <f t="shared" si="11"/>
        <v>27%</v>
      </c>
    </row>
    <row r="12" ht="30.0" customHeight="1">
      <c r="B12" s="126" t="s">
        <v>112</v>
      </c>
      <c r="C12" s="126" t="s">
        <v>113</v>
      </c>
      <c r="D12" s="126" t="s">
        <v>64</v>
      </c>
      <c r="F12" s="144"/>
      <c r="N12" s="127"/>
      <c r="S12" s="89"/>
    </row>
    <row r="13" ht="15.75" customHeight="1">
      <c r="B13" s="34" t="s">
        <v>114</v>
      </c>
      <c r="C13" s="49" t="s">
        <v>66</v>
      </c>
      <c r="D13" s="88" t="s">
        <v>67</v>
      </c>
      <c r="F13" s="84"/>
      <c r="G13" s="85"/>
      <c r="I13" s="85"/>
      <c r="J13" s="128"/>
      <c r="K13" s="129"/>
      <c r="L13" s="129"/>
      <c r="M13" s="129"/>
      <c r="N13" s="129"/>
      <c r="O13" s="129"/>
      <c r="P13" s="129"/>
      <c r="Q13" s="129"/>
      <c r="R13" s="129"/>
      <c r="S13" s="130"/>
      <c r="T13" s="145"/>
      <c r="U13" s="145"/>
      <c r="V13" s="145"/>
      <c r="W13" s="146"/>
    </row>
    <row r="14" ht="18.75" customHeight="1">
      <c r="B14" s="34" t="s">
        <v>116</v>
      </c>
      <c r="C14" s="49" t="s">
        <v>69</v>
      </c>
      <c r="D14" s="131" t="s">
        <v>70</v>
      </c>
      <c r="F14" s="89"/>
      <c r="G14" s="90"/>
      <c r="I14" s="91"/>
      <c r="J14" s="132"/>
      <c r="S14" s="133"/>
      <c r="T14" s="85"/>
      <c r="U14" s="85"/>
      <c r="V14" s="85"/>
      <c r="W14" s="85"/>
    </row>
    <row r="15" ht="20.25" customHeight="1">
      <c r="B15" s="34" t="s">
        <v>117</v>
      </c>
      <c r="C15" s="49" t="s">
        <v>72</v>
      </c>
      <c r="D15" s="94" t="s">
        <v>73</v>
      </c>
      <c r="F15" s="79"/>
      <c r="G15" s="93"/>
      <c r="I15" s="91"/>
      <c r="J15" s="134"/>
      <c r="K15" s="135"/>
      <c r="L15" s="135"/>
      <c r="M15" s="135"/>
      <c r="N15" s="135"/>
      <c r="O15" s="135"/>
      <c r="P15" s="135"/>
      <c r="Q15" s="135"/>
      <c r="R15" s="135"/>
      <c r="S15" s="136"/>
      <c r="T15" s="146"/>
      <c r="U15" s="79"/>
      <c r="V15" s="93"/>
      <c r="W15" s="79"/>
    </row>
    <row r="16" ht="14.25" customHeight="1">
      <c r="F16" s="91"/>
      <c r="G16" s="79"/>
      <c r="I16" s="91"/>
      <c r="J16" s="91"/>
      <c r="K16" s="91"/>
      <c r="N16" s="146"/>
      <c r="P16" s="91"/>
      <c r="S16" s="93"/>
      <c r="T16" s="146"/>
      <c r="U16" s="79"/>
      <c r="V16" s="146"/>
      <c r="W16" s="79"/>
    </row>
    <row r="17" ht="28.5" customHeight="1">
      <c r="A17" s="97" t="s">
        <v>33</v>
      </c>
      <c r="B17" s="97" t="s">
        <v>74</v>
      </c>
      <c r="C17" s="97" t="s">
        <v>75</v>
      </c>
      <c r="D17" s="147" t="s">
        <v>35</v>
      </c>
      <c r="E17" s="99" t="s">
        <v>76</v>
      </c>
      <c r="F17" s="2"/>
      <c r="G17" s="2"/>
      <c r="H17" s="2"/>
      <c r="I17" s="2"/>
      <c r="J17" s="2"/>
      <c r="K17" s="3"/>
      <c r="L17" s="99" t="s">
        <v>139</v>
      </c>
      <c r="M17" s="2"/>
      <c r="N17" s="2"/>
      <c r="O17" s="2"/>
      <c r="P17" s="2"/>
      <c r="Q17" s="2"/>
      <c r="R17" s="2"/>
      <c r="S17" s="2"/>
      <c r="T17" s="3"/>
      <c r="V17" s="148"/>
    </row>
    <row r="18" ht="34.5" customHeight="1">
      <c r="A18" s="76" t="s">
        <v>86</v>
      </c>
      <c r="B18" s="64" t="s">
        <v>131</v>
      </c>
      <c r="C18" s="64" t="s">
        <v>96</v>
      </c>
      <c r="D18" s="87" t="s">
        <v>136</v>
      </c>
      <c r="E18" s="149" t="s">
        <v>140</v>
      </c>
      <c r="F18" s="2"/>
      <c r="G18" s="2"/>
      <c r="H18" s="2"/>
      <c r="I18" s="2"/>
      <c r="J18" s="2"/>
      <c r="K18" s="3"/>
      <c r="L18" s="150" t="s">
        <v>141</v>
      </c>
      <c r="M18" s="2"/>
      <c r="N18" s="2"/>
      <c r="O18" s="2"/>
      <c r="P18" s="2"/>
      <c r="Q18" s="2"/>
      <c r="R18" s="2"/>
      <c r="S18" s="2"/>
      <c r="T18" s="3"/>
      <c r="U18" s="151"/>
      <c r="V18" s="151"/>
      <c r="W18" s="151"/>
      <c r="X18" s="151"/>
      <c r="Y18" s="151"/>
      <c r="Z18" s="151"/>
      <c r="AA18" s="151"/>
      <c r="AB18" s="151"/>
      <c r="AC18" s="151"/>
      <c r="AD18" s="151"/>
      <c r="AE18" s="151"/>
      <c r="AF18" s="151"/>
      <c r="AG18" s="151"/>
      <c r="AH18" s="151"/>
      <c r="AI18" s="151"/>
      <c r="AJ18" s="151"/>
      <c r="AK18" s="151"/>
      <c r="AL18" s="151"/>
      <c r="AM18" s="151"/>
      <c r="AN18" s="151"/>
    </row>
    <row r="19" ht="44.25" customHeight="1">
      <c r="A19" s="34" t="s">
        <v>89</v>
      </c>
      <c r="B19" s="54" t="s">
        <v>131</v>
      </c>
      <c r="C19" s="152" t="s">
        <v>142</v>
      </c>
      <c r="D19" s="87" t="s">
        <v>137</v>
      </c>
      <c r="E19" s="68" t="s">
        <v>143</v>
      </c>
      <c r="F19" s="2"/>
      <c r="G19" s="2"/>
      <c r="H19" s="2"/>
      <c r="I19" s="2"/>
      <c r="J19" s="2"/>
      <c r="K19" s="3"/>
      <c r="L19" s="68" t="s">
        <v>144</v>
      </c>
      <c r="M19" s="2"/>
      <c r="N19" s="2"/>
      <c r="O19" s="2"/>
      <c r="P19" s="2"/>
      <c r="Q19" s="2"/>
      <c r="R19" s="2"/>
      <c r="S19" s="2"/>
      <c r="T19" s="3"/>
    </row>
    <row r="20" ht="43.5" customHeight="1">
      <c r="A20" s="34" t="s">
        <v>145</v>
      </c>
      <c r="B20" s="54" t="s">
        <v>131</v>
      </c>
      <c r="C20" s="54" t="s">
        <v>146</v>
      </c>
      <c r="D20" s="78" t="s">
        <v>138</v>
      </c>
      <c r="E20" s="68" t="s">
        <v>147</v>
      </c>
      <c r="F20" s="2"/>
      <c r="G20" s="2"/>
      <c r="H20" s="2"/>
      <c r="I20" s="2"/>
      <c r="J20" s="2"/>
      <c r="K20" s="3"/>
      <c r="L20" s="68" t="s">
        <v>148</v>
      </c>
      <c r="M20" s="2"/>
      <c r="N20" s="2"/>
      <c r="O20" s="2"/>
      <c r="P20" s="2"/>
      <c r="Q20" s="2"/>
      <c r="R20" s="2"/>
      <c r="S20" s="2"/>
      <c r="T20" s="3"/>
    </row>
    <row r="21" ht="43.5" customHeight="1">
      <c r="A21" s="34" t="s">
        <v>91</v>
      </c>
      <c r="B21" s="54" t="s">
        <v>131</v>
      </c>
      <c r="C21" s="54" t="s">
        <v>119</v>
      </c>
      <c r="D21" s="87" t="s">
        <v>58</v>
      </c>
      <c r="E21" s="68" t="s">
        <v>149</v>
      </c>
      <c r="F21" s="2"/>
      <c r="G21" s="2"/>
      <c r="H21" s="2"/>
      <c r="I21" s="2"/>
      <c r="J21" s="2"/>
      <c r="K21" s="3"/>
      <c r="L21" s="68" t="s">
        <v>150</v>
      </c>
      <c r="M21" s="2"/>
      <c r="N21" s="2"/>
      <c r="O21" s="2"/>
      <c r="P21" s="2"/>
      <c r="Q21" s="2"/>
      <c r="R21" s="2"/>
      <c r="S21" s="2"/>
      <c r="T21" s="3"/>
    </row>
    <row r="22" ht="14.25" customHeight="1">
      <c r="F22" s="79"/>
      <c r="G22" s="79"/>
      <c r="J22" s="91"/>
    </row>
    <row r="23" ht="45.0" customHeight="1">
      <c r="F23" s="127"/>
      <c r="G23" s="91"/>
      <c r="I23" s="91"/>
      <c r="J23" s="91"/>
      <c r="K23" s="91"/>
    </row>
    <row r="24" ht="35.25" customHeight="1">
      <c r="F24" s="91"/>
      <c r="G24" s="90"/>
      <c r="I24" s="91"/>
      <c r="J24" s="91"/>
      <c r="K24" s="91"/>
    </row>
    <row r="25" ht="14.25" customHeight="1">
      <c r="F25" s="91"/>
      <c r="G25" s="91"/>
      <c r="I25" s="91"/>
      <c r="J25" s="91"/>
      <c r="K25" s="91"/>
    </row>
    <row r="26" ht="41.25" customHeight="1">
      <c r="F26" s="145"/>
      <c r="G26" s="90"/>
      <c r="J26" s="91"/>
    </row>
    <row r="27" ht="33.75" customHeight="1">
      <c r="F27" s="145"/>
      <c r="G27" s="90"/>
      <c r="J27" s="91"/>
    </row>
    <row r="28" ht="14.25" customHeight="1">
      <c r="F28" s="145"/>
      <c r="G28" s="91"/>
      <c r="J28" s="91"/>
    </row>
    <row r="29" ht="69.0" customHeight="1">
      <c r="F29" s="145"/>
      <c r="G29" s="93"/>
      <c r="J29" s="91"/>
    </row>
    <row r="30" ht="48.75" customHeight="1">
      <c r="G30" s="79"/>
      <c r="J30" s="91"/>
    </row>
    <row r="31" ht="14.25" customHeight="1">
      <c r="G31" s="79"/>
      <c r="J31" s="91"/>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mergeCells count="47">
    <mergeCell ref="G15:H15"/>
    <mergeCell ref="J13:S15"/>
    <mergeCell ref="U3:V3"/>
    <mergeCell ref="AA3:AB3"/>
    <mergeCell ref="A7:A8"/>
    <mergeCell ref="B7:B8"/>
    <mergeCell ref="G14:H14"/>
    <mergeCell ref="F12:K12"/>
    <mergeCell ref="L18:T18"/>
    <mergeCell ref="E18:K18"/>
    <mergeCell ref="C9:C10"/>
    <mergeCell ref="G16:H16"/>
    <mergeCell ref="L17:T17"/>
    <mergeCell ref="A1:AB1"/>
    <mergeCell ref="E17:K17"/>
    <mergeCell ref="A9:A10"/>
    <mergeCell ref="G30:H30"/>
    <mergeCell ref="G28:H28"/>
    <mergeCell ref="G29:H29"/>
    <mergeCell ref="L21:T21"/>
    <mergeCell ref="E21:K21"/>
    <mergeCell ref="G22:H22"/>
    <mergeCell ref="G31:H31"/>
    <mergeCell ref="G23:H23"/>
    <mergeCell ref="G24:H24"/>
    <mergeCell ref="G25:H25"/>
    <mergeCell ref="G13:H13"/>
    <mergeCell ref="N12:P12"/>
    <mergeCell ref="S12:W12"/>
    <mergeCell ref="E19:K19"/>
    <mergeCell ref="L19:T19"/>
    <mergeCell ref="E20:K20"/>
    <mergeCell ref="L20:T20"/>
    <mergeCell ref="B9:B10"/>
    <mergeCell ref="A2:C2"/>
    <mergeCell ref="D2:J2"/>
    <mergeCell ref="K2:P2"/>
    <mergeCell ref="Q2:V2"/>
    <mergeCell ref="W2:AB2"/>
    <mergeCell ref="AC2:AH2"/>
    <mergeCell ref="AI2:AN2"/>
    <mergeCell ref="I3:J3"/>
    <mergeCell ref="O3:P3"/>
    <mergeCell ref="AG3:AH3"/>
    <mergeCell ref="AM3:AN3"/>
    <mergeCell ref="G26:H26"/>
    <mergeCell ref="G27:H27"/>
  </mergeCells>
  <conditionalFormatting sqref="I4:I11">
    <cfRule type="cellIs" dxfId="11" priority="1" operator="greaterThan">
      <formula>0.74</formula>
    </cfRule>
  </conditionalFormatting>
  <conditionalFormatting sqref="I4:I11">
    <cfRule type="cellIs" dxfId="9" priority="2" operator="greaterThan">
      <formula>0.5</formula>
    </cfRule>
  </conditionalFormatting>
  <conditionalFormatting sqref="I4:I11">
    <cfRule type="cellIs" dxfId="10" priority="3" operator="lessThan">
      <formula>0.5</formula>
    </cfRule>
  </conditionalFormatting>
  <conditionalFormatting sqref="I4:I11">
    <cfRule type="cellIs" dxfId="9" priority="4" operator="greaterThanOrEqual">
      <formula>50</formula>
    </cfRule>
  </conditionalFormatting>
  <conditionalFormatting sqref="I4:I11">
    <cfRule type="cellIs" dxfId="10" priority="5" operator="lessThan">
      <formula>50</formula>
    </cfRule>
  </conditionalFormatting>
  <conditionalFormatting sqref="O4:O11 U4:U11 AA4:AA11 AG4:AG11 AM4:AM11">
    <cfRule type="cellIs" dxfId="11" priority="6" operator="greaterThan">
      <formula>0.74</formula>
    </cfRule>
  </conditionalFormatting>
  <conditionalFormatting sqref="O4:O11 U4:U11 AA4:AA11 AG4:AG11 AM4:AM11">
    <cfRule type="cellIs" dxfId="9" priority="7" operator="greaterThan">
      <formula>0.49</formula>
    </cfRule>
  </conditionalFormatting>
  <conditionalFormatting sqref="O4:O11 U4:U11 AA4:AA11 AG4:AG11 AM4:AM11">
    <cfRule type="cellIs" dxfId="10" priority="8" operator="lessThan">
      <formula>0.5</formula>
    </cfRule>
  </conditionalFormatting>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10.43"/>
    <col customWidth="1" min="3" max="4" width="16.0"/>
    <col customWidth="1" min="5" max="5" width="8.86"/>
    <col customWidth="1" min="6" max="6" width="9.14"/>
    <col customWidth="1" min="7" max="7" width="16.57"/>
    <col customWidth="1" min="8" max="9" width="9.14"/>
    <col customWidth="1" min="10" max="10" width="8.43"/>
    <col customWidth="1" min="11" max="11" width="6.86"/>
    <col customWidth="1" min="12" max="12" width="6.0"/>
    <col customWidth="1" min="13" max="13" width="8.14"/>
    <col customWidth="1" min="14" max="14" width="7.57"/>
    <col customWidth="1" min="15" max="15" width="10.14"/>
    <col customWidth="1" min="16" max="16" width="8.43"/>
    <col customWidth="1" min="17" max="17" width="6.14"/>
    <col customWidth="1" min="18" max="18" width="5.86"/>
    <col customWidth="1" min="19" max="19" width="6.57"/>
    <col customWidth="1" min="20" max="20" width="7.14"/>
    <col customWidth="1" min="21" max="21" width="8.14"/>
    <col customWidth="1" min="22" max="22" width="9.86"/>
    <col customWidth="1" min="23" max="23" width="6.57"/>
    <col customWidth="1" min="24" max="24" width="5.57"/>
    <col customWidth="1" min="25" max="25" width="8.0"/>
    <col customWidth="1" min="26" max="26" width="6.57"/>
    <col customWidth="1" min="27" max="27" width="9.57"/>
    <col customWidth="1" min="28" max="28" width="11.86"/>
    <col customWidth="1" min="29" max="29" width="6.57"/>
    <col customWidth="1" min="30" max="30" width="5.86"/>
    <col customWidth="1" min="31" max="31" width="7.43"/>
    <col customWidth="1" min="32" max="32" width="6.86"/>
    <col customWidth="1" min="33" max="33" width="8.86"/>
    <col customWidth="1" min="34" max="34" width="9.57"/>
    <col customWidth="1" min="35" max="35" width="6.43"/>
    <col customWidth="1" min="36" max="36" width="6.0"/>
    <col customWidth="1" min="37" max="37" width="8.43"/>
    <col customWidth="1" min="38" max="38" width="6.57"/>
    <col customWidth="1" min="39" max="39" width="9.86"/>
    <col customWidth="1" min="40" max="40" width="9.57"/>
  </cols>
  <sheetData>
    <row r="1" ht="14.25" customHeight="1">
      <c r="A1" s="153" t="s">
        <v>151</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2"/>
    </row>
    <row r="2" ht="14.25" customHeight="1">
      <c r="A2" s="154"/>
      <c r="B2" s="155"/>
      <c r="C2" s="155"/>
      <c r="D2" s="156" t="s">
        <v>1</v>
      </c>
      <c r="E2" s="155"/>
      <c r="F2" s="155"/>
      <c r="G2" s="155"/>
      <c r="H2" s="155"/>
      <c r="I2" s="155"/>
      <c r="J2" s="157"/>
      <c r="K2" s="156" t="s">
        <v>2</v>
      </c>
      <c r="L2" s="155"/>
      <c r="M2" s="155"/>
      <c r="N2" s="155"/>
      <c r="O2" s="155"/>
      <c r="P2" s="157"/>
      <c r="Q2" s="156" t="s">
        <v>3</v>
      </c>
      <c r="R2" s="155"/>
      <c r="S2" s="155"/>
      <c r="T2" s="155"/>
      <c r="U2" s="155"/>
      <c r="V2" s="157"/>
      <c r="W2" s="156" t="s">
        <v>127</v>
      </c>
      <c r="X2" s="155"/>
      <c r="Y2" s="155"/>
      <c r="Z2" s="155"/>
      <c r="AA2" s="155"/>
      <c r="AB2" s="157"/>
      <c r="AC2" s="156" t="s">
        <v>128</v>
      </c>
      <c r="AD2" s="155"/>
      <c r="AE2" s="155"/>
      <c r="AF2" s="155"/>
      <c r="AG2" s="155"/>
      <c r="AH2" s="157"/>
      <c r="AI2" s="156" t="s">
        <v>96</v>
      </c>
      <c r="AJ2" s="155"/>
      <c r="AK2" s="155"/>
      <c r="AL2" s="155"/>
      <c r="AM2" s="155"/>
      <c r="AN2" s="158"/>
    </row>
    <row r="3" ht="14.25" customHeight="1">
      <c r="A3" s="159" t="s">
        <v>33</v>
      </c>
      <c r="B3" s="27" t="s">
        <v>34</v>
      </c>
      <c r="C3" s="7" t="s">
        <v>35</v>
      </c>
      <c r="D3" s="27" t="s">
        <v>97</v>
      </c>
      <c r="E3" s="27" t="s">
        <v>38</v>
      </c>
      <c r="F3" s="27" t="s">
        <v>39</v>
      </c>
      <c r="G3" s="7" t="s">
        <v>40</v>
      </c>
      <c r="H3" s="3"/>
      <c r="I3" s="7" t="s">
        <v>41</v>
      </c>
      <c r="J3" s="3"/>
      <c r="K3" s="4" t="s">
        <v>38</v>
      </c>
      <c r="L3" s="4" t="s">
        <v>39</v>
      </c>
      <c r="M3" s="31" t="s">
        <v>40</v>
      </c>
      <c r="N3" s="31"/>
      <c r="O3" s="7" t="s">
        <v>41</v>
      </c>
      <c r="P3" s="3"/>
      <c r="Q3" s="4" t="s">
        <v>38</v>
      </c>
      <c r="R3" s="4" t="s">
        <v>39</v>
      </c>
      <c r="S3" s="31" t="s">
        <v>40</v>
      </c>
      <c r="T3" s="31"/>
      <c r="U3" s="7" t="s">
        <v>41</v>
      </c>
      <c r="V3" s="3"/>
      <c r="W3" s="4" t="s">
        <v>38</v>
      </c>
      <c r="X3" s="4" t="s">
        <v>39</v>
      </c>
      <c r="Y3" s="31" t="s">
        <v>40</v>
      </c>
      <c r="Z3" s="31"/>
      <c r="AA3" s="7" t="s">
        <v>41</v>
      </c>
      <c r="AB3" s="3"/>
      <c r="AC3" s="4" t="s">
        <v>38</v>
      </c>
      <c r="AD3" s="4" t="s">
        <v>39</v>
      </c>
      <c r="AE3" s="31" t="s">
        <v>40</v>
      </c>
      <c r="AF3" s="31"/>
      <c r="AG3" s="7" t="s">
        <v>41</v>
      </c>
      <c r="AH3" s="3"/>
      <c r="AI3" s="4" t="s">
        <v>38</v>
      </c>
      <c r="AJ3" s="4" t="s">
        <v>39</v>
      </c>
      <c r="AK3" s="31" t="s">
        <v>40</v>
      </c>
      <c r="AL3" s="31"/>
      <c r="AM3" s="7" t="s">
        <v>41</v>
      </c>
      <c r="AN3" s="160"/>
    </row>
    <row r="4" ht="14.25" customHeight="1">
      <c r="A4" s="159"/>
      <c r="B4" s="7"/>
      <c r="C4" s="27"/>
      <c r="D4" s="27"/>
      <c r="E4" s="27"/>
      <c r="F4" s="27"/>
      <c r="G4" s="27"/>
      <c r="H4" s="31" t="s">
        <v>37</v>
      </c>
      <c r="I4" s="7" t="s">
        <v>38</v>
      </c>
      <c r="J4" s="33" t="s">
        <v>39</v>
      </c>
      <c r="K4" s="4"/>
      <c r="L4" s="4"/>
      <c r="M4" s="31"/>
      <c r="N4" s="31" t="s">
        <v>37</v>
      </c>
      <c r="O4" s="7" t="s">
        <v>38</v>
      </c>
      <c r="P4" s="33" t="s">
        <v>39</v>
      </c>
      <c r="Q4" s="4"/>
      <c r="R4" s="4"/>
      <c r="S4" s="31"/>
      <c r="T4" s="31" t="s">
        <v>37</v>
      </c>
      <c r="U4" s="7" t="s">
        <v>38</v>
      </c>
      <c r="V4" s="33" t="s">
        <v>39</v>
      </c>
      <c r="W4" s="4"/>
      <c r="X4" s="4"/>
      <c r="Y4" s="31"/>
      <c r="Z4" s="31" t="s">
        <v>37</v>
      </c>
      <c r="AA4" s="7" t="s">
        <v>38</v>
      </c>
      <c r="AB4" s="33" t="s">
        <v>39</v>
      </c>
      <c r="AC4" s="4"/>
      <c r="AD4" s="4"/>
      <c r="AE4" s="31"/>
      <c r="AF4" s="31" t="s">
        <v>37</v>
      </c>
      <c r="AG4" s="7" t="s">
        <v>38</v>
      </c>
      <c r="AH4" s="33" t="s">
        <v>39</v>
      </c>
      <c r="AI4" s="4"/>
      <c r="AJ4" s="4"/>
      <c r="AK4" s="31"/>
      <c r="AL4" s="31" t="s">
        <v>37</v>
      </c>
      <c r="AM4" s="7" t="s">
        <v>38</v>
      </c>
      <c r="AN4" s="161" t="s">
        <v>39</v>
      </c>
    </row>
    <row r="5" ht="14.25" customHeight="1">
      <c r="A5" s="162" t="s">
        <v>98</v>
      </c>
      <c r="B5" s="49" t="s">
        <v>152</v>
      </c>
      <c r="C5" s="78" t="s">
        <v>153</v>
      </c>
      <c r="D5" s="54">
        <v>28.0</v>
      </c>
      <c r="E5" s="54">
        <v>15.0</v>
      </c>
      <c r="F5" s="54">
        <v>6.0</v>
      </c>
      <c r="G5" s="64">
        <v>21.0</v>
      </c>
      <c r="H5" s="54">
        <v>7.0</v>
      </c>
      <c r="I5" s="121" t="str">
        <f t="shared" ref="I5:I11" si="1">(E5/G5)</f>
        <v>71%</v>
      </c>
      <c r="J5" s="32" t="str">
        <f t="shared" ref="J5:J11" si="2">(F5/G5)</f>
        <v>29%</v>
      </c>
      <c r="K5" s="54">
        <v>13.0</v>
      </c>
      <c r="L5" s="54">
        <v>11.0</v>
      </c>
      <c r="M5" s="64">
        <v>24.0</v>
      </c>
      <c r="N5" s="54">
        <v>4.0</v>
      </c>
      <c r="O5" s="121" t="str">
        <f t="shared" ref="O5:O11" si="3">(K5/M5)</f>
        <v>54%</v>
      </c>
      <c r="P5" s="32" t="str">
        <f t="shared" ref="P5:P11" si="4">(L5/M5)</f>
        <v>46%</v>
      </c>
      <c r="Q5" s="54">
        <v>14.0</v>
      </c>
      <c r="R5" s="54">
        <v>8.0</v>
      </c>
      <c r="S5" s="54">
        <v>22.0</v>
      </c>
      <c r="T5" s="54">
        <v>6.0</v>
      </c>
      <c r="U5" s="120" t="str">
        <f t="shared" ref="U5:U11" si="5">(Q5/S5)</f>
        <v>64%</v>
      </c>
      <c r="V5" s="42" t="str">
        <f t="shared" ref="V5:V11" si="6">(R5/S5)</f>
        <v>36%</v>
      </c>
      <c r="W5" s="54">
        <v>13.0</v>
      </c>
      <c r="X5" s="54">
        <v>8.0</v>
      </c>
      <c r="Y5" s="64">
        <v>21.0</v>
      </c>
      <c r="Z5" s="54">
        <v>7.0</v>
      </c>
      <c r="AA5" s="121" t="str">
        <f t="shared" ref="AA5:AA11" si="7">(W5/Y5)</f>
        <v>62%</v>
      </c>
      <c r="AB5" s="32" t="str">
        <f t="shared" ref="AB5:AB11" si="8">(X5/Y5)</f>
        <v>38%</v>
      </c>
      <c r="AC5" s="54">
        <v>17.0</v>
      </c>
      <c r="AD5" s="54">
        <v>6.0</v>
      </c>
      <c r="AE5" s="54">
        <v>23.0</v>
      </c>
      <c r="AF5" s="54">
        <v>5.0</v>
      </c>
      <c r="AG5" s="120" t="str">
        <f t="shared" ref="AG5:AG11" si="9">(AC5/AE5)</f>
        <v>74%</v>
      </c>
      <c r="AH5" s="32" t="str">
        <f t="shared" ref="AH5:AH11" si="10">(AD5/AE5)</f>
        <v>26%</v>
      </c>
      <c r="AI5" s="54">
        <v>16.0</v>
      </c>
      <c r="AJ5" s="54">
        <v>3.0</v>
      </c>
      <c r="AK5" s="64">
        <v>19.0</v>
      </c>
      <c r="AL5" s="54">
        <v>9.0</v>
      </c>
      <c r="AM5" s="121" t="str">
        <f t="shared" ref="AM5:AM11" si="11">(AI5/AK5)</f>
        <v>84%</v>
      </c>
      <c r="AN5" s="163" t="str">
        <f t="shared" ref="AN5:AN11" si="12">(AJ5/AK5)</f>
        <v>16%</v>
      </c>
    </row>
    <row r="6" ht="14.25" customHeight="1">
      <c r="A6" s="164" t="s">
        <v>154</v>
      </c>
      <c r="B6" s="49" t="s">
        <v>152</v>
      </c>
      <c r="C6" s="78" t="s">
        <v>155</v>
      </c>
      <c r="D6" s="54">
        <v>23.0</v>
      </c>
      <c r="E6" s="54">
        <v>22.0</v>
      </c>
      <c r="F6" s="54">
        <v>0.0</v>
      </c>
      <c r="G6" s="64">
        <v>22.0</v>
      </c>
      <c r="H6" s="54">
        <v>1.0</v>
      </c>
      <c r="I6" s="121" t="str">
        <f t="shared" si="1"/>
        <v>100%</v>
      </c>
      <c r="J6" s="32" t="str">
        <f t="shared" si="2"/>
        <v>0%</v>
      </c>
      <c r="K6" s="54">
        <v>20.0</v>
      </c>
      <c r="L6" s="54">
        <v>2.0</v>
      </c>
      <c r="M6" s="64">
        <v>22.0</v>
      </c>
      <c r="N6" s="54">
        <v>1.0</v>
      </c>
      <c r="O6" s="121" t="str">
        <f t="shared" si="3"/>
        <v>91%</v>
      </c>
      <c r="P6" s="32" t="str">
        <f t="shared" si="4"/>
        <v>9%</v>
      </c>
      <c r="Q6" s="54">
        <v>17.0</v>
      </c>
      <c r="R6" s="54">
        <v>5.0</v>
      </c>
      <c r="S6" s="54">
        <v>22.0</v>
      </c>
      <c r="T6" s="54">
        <v>1.0</v>
      </c>
      <c r="U6" s="121" t="str">
        <f t="shared" si="5"/>
        <v>77%</v>
      </c>
      <c r="V6" s="42" t="str">
        <f t="shared" si="6"/>
        <v>23%</v>
      </c>
      <c r="W6" s="54">
        <v>18.0</v>
      </c>
      <c r="X6" s="54">
        <v>3.0</v>
      </c>
      <c r="Y6" s="64">
        <v>21.0</v>
      </c>
      <c r="Z6" s="54">
        <v>2.0</v>
      </c>
      <c r="AA6" s="121" t="str">
        <f t="shared" si="7"/>
        <v>86%</v>
      </c>
      <c r="AB6" s="32" t="str">
        <f t="shared" si="8"/>
        <v>14%</v>
      </c>
      <c r="AC6" s="54">
        <v>14.0</v>
      </c>
      <c r="AD6" s="54">
        <v>8.0</v>
      </c>
      <c r="AE6" s="54">
        <v>22.0</v>
      </c>
      <c r="AF6" s="54">
        <v>1.0</v>
      </c>
      <c r="AG6" s="121" t="str">
        <f t="shared" si="9"/>
        <v>64%</v>
      </c>
      <c r="AH6" s="32" t="str">
        <f t="shared" si="10"/>
        <v>36%</v>
      </c>
      <c r="AI6" s="54">
        <v>17.0</v>
      </c>
      <c r="AJ6" s="54">
        <v>5.0</v>
      </c>
      <c r="AK6" s="64">
        <v>22.0</v>
      </c>
      <c r="AL6" s="54">
        <v>1.0</v>
      </c>
      <c r="AM6" s="121" t="str">
        <f t="shared" si="11"/>
        <v>77%</v>
      </c>
      <c r="AN6" s="163" t="str">
        <f t="shared" si="12"/>
        <v>23%</v>
      </c>
    </row>
    <row r="7" ht="14.25" customHeight="1">
      <c r="A7" s="165"/>
      <c r="B7" s="49" t="s">
        <v>156</v>
      </c>
      <c r="C7" s="78" t="s">
        <v>134</v>
      </c>
      <c r="D7" s="54">
        <v>20.0</v>
      </c>
      <c r="E7" s="54">
        <v>13.0</v>
      </c>
      <c r="F7" s="54">
        <v>3.0</v>
      </c>
      <c r="G7" s="64">
        <v>16.0</v>
      </c>
      <c r="H7" s="54">
        <v>4.0</v>
      </c>
      <c r="I7" s="121" t="str">
        <f t="shared" si="1"/>
        <v>81%</v>
      </c>
      <c r="J7" s="32" t="str">
        <f t="shared" si="2"/>
        <v>19%</v>
      </c>
      <c r="K7" s="54">
        <v>14.0</v>
      </c>
      <c r="L7" s="54">
        <v>1.0</v>
      </c>
      <c r="M7" s="64">
        <v>15.0</v>
      </c>
      <c r="N7" s="54">
        <v>5.0</v>
      </c>
      <c r="O7" s="121" t="str">
        <f t="shared" si="3"/>
        <v>93%</v>
      </c>
      <c r="P7" s="32" t="str">
        <f t="shared" si="4"/>
        <v>7%</v>
      </c>
      <c r="Q7" s="54">
        <v>11.0</v>
      </c>
      <c r="R7" s="54">
        <v>7.0</v>
      </c>
      <c r="S7" s="54">
        <v>18.0</v>
      </c>
      <c r="T7" s="54">
        <v>2.0</v>
      </c>
      <c r="U7" s="120" t="str">
        <f t="shared" si="5"/>
        <v>61%</v>
      </c>
      <c r="V7" s="42" t="str">
        <f t="shared" si="6"/>
        <v>39%</v>
      </c>
      <c r="W7" s="54">
        <v>13.0</v>
      </c>
      <c r="X7" s="54">
        <v>5.0</v>
      </c>
      <c r="Y7" s="64">
        <v>18.0</v>
      </c>
      <c r="Z7" s="54">
        <v>2.0</v>
      </c>
      <c r="AA7" s="121" t="str">
        <f t="shared" si="7"/>
        <v>72%</v>
      </c>
      <c r="AB7" s="32" t="str">
        <f t="shared" si="8"/>
        <v>28%</v>
      </c>
      <c r="AC7" s="54">
        <v>7.0</v>
      </c>
      <c r="AD7" s="54">
        <v>9.0</v>
      </c>
      <c r="AE7" s="54">
        <v>16.0</v>
      </c>
      <c r="AF7" s="54">
        <v>4.0</v>
      </c>
      <c r="AG7" s="120" t="str">
        <f t="shared" si="9"/>
        <v>44%</v>
      </c>
      <c r="AH7" s="32" t="str">
        <f t="shared" si="10"/>
        <v>56%</v>
      </c>
      <c r="AI7" s="54">
        <v>5.0</v>
      </c>
      <c r="AJ7" s="54">
        <v>12.0</v>
      </c>
      <c r="AK7" s="64">
        <v>17.0</v>
      </c>
      <c r="AL7" s="54">
        <v>3.0</v>
      </c>
      <c r="AM7" s="121" t="str">
        <f t="shared" si="11"/>
        <v>29%</v>
      </c>
      <c r="AN7" s="163" t="str">
        <f t="shared" si="12"/>
        <v>71%</v>
      </c>
    </row>
    <row r="8" ht="14.25" customHeight="1">
      <c r="A8" s="166" t="s">
        <v>135</v>
      </c>
      <c r="B8" s="59" t="s">
        <v>152</v>
      </c>
      <c r="C8" s="167" t="s">
        <v>136</v>
      </c>
      <c r="D8" s="64">
        <v>15.0</v>
      </c>
      <c r="E8" s="64">
        <v>15.0</v>
      </c>
      <c r="F8" s="64">
        <v>0.0</v>
      </c>
      <c r="G8" s="64">
        <v>15.0</v>
      </c>
      <c r="H8" s="64">
        <v>0.0</v>
      </c>
      <c r="I8" s="121" t="str">
        <f t="shared" si="1"/>
        <v>100%</v>
      </c>
      <c r="J8" s="32" t="str">
        <f t="shared" si="2"/>
        <v>0%</v>
      </c>
      <c r="K8" s="64">
        <v>13.0</v>
      </c>
      <c r="L8" s="64">
        <v>2.0</v>
      </c>
      <c r="M8" s="64">
        <v>15.0</v>
      </c>
      <c r="N8" s="64">
        <v>0.0</v>
      </c>
      <c r="O8" s="121" t="str">
        <f t="shared" si="3"/>
        <v>87%</v>
      </c>
      <c r="P8" s="32" t="str">
        <f t="shared" si="4"/>
        <v>13%</v>
      </c>
      <c r="Q8" s="64">
        <v>15.0</v>
      </c>
      <c r="R8" s="64">
        <v>0.0</v>
      </c>
      <c r="S8" s="64">
        <v>15.0</v>
      </c>
      <c r="T8" s="64">
        <v>0.0</v>
      </c>
      <c r="U8" s="121" t="str">
        <f t="shared" si="5"/>
        <v>100%</v>
      </c>
      <c r="V8" s="42" t="str">
        <f t="shared" si="6"/>
        <v>0%</v>
      </c>
      <c r="W8" s="64">
        <v>13.0</v>
      </c>
      <c r="X8" s="64">
        <v>1.0</v>
      </c>
      <c r="Y8" s="64">
        <v>14.0</v>
      </c>
      <c r="Z8" s="64">
        <v>1.0</v>
      </c>
      <c r="AA8" s="121" t="str">
        <f t="shared" si="7"/>
        <v>93%</v>
      </c>
      <c r="AB8" s="32" t="str">
        <f t="shared" si="8"/>
        <v>7%</v>
      </c>
      <c r="AC8" s="64">
        <v>15.0</v>
      </c>
      <c r="AD8" s="64">
        <v>0.0</v>
      </c>
      <c r="AE8" s="64">
        <v>15.0</v>
      </c>
      <c r="AF8" s="64">
        <v>0.0</v>
      </c>
      <c r="AG8" s="121" t="str">
        <f t="shared" si="9"/>
        <v>100%</v>
      </c>
      <c r="AH8" s="32" t="str">
        <f t="shared" si="10"/>
        <v>0%</v>
      </c>
      <c r="AI8" s="64">
        <v>12.0</v>
      </c>
      <c r="AJ8" s="64">
        <v>2.0</v>
      </c>
      <c r="AK8" s="64">
        <v>14.0</v>
      </c>
      <c r="AL8" s="64">
        <v>1.0</v>
      </c>
      <c r="AM8" s="121" t="str">
        <f t="shared" si="11"/>
        <v>86%</v>
      </c>
      <c r="AN8" s="163" t="str">
        <f t="shared" si="12"/>
        <v>14%</v>
      </c>
    </row>
    <row r="9" ht="14.25" customHeight="1">
      <c r="A9" s="168" t="s">
        <v>52</v>
      </c>
      <c r="B9" s="49" t="s">
        <v>152</v>
      </c>
      <c r="C9" s="87" t="s">
        <v>137</v>
      </c>
      <c r="D9" s="54">
        <v>23.0</v>
      </c>
      <c r="E9" s="54">
        <v>18.0</v>
      </c>
      <c r="F9" s="54">
        <v>0.0</v>
      </c>
      <c r="G9" s="64">
        <v>18.0</v>
      </c>
      <c r="H9" s="35">
        <v>3.0</v>
      </c>
      <c r="I9" s="121" t="str">
        <f t="shared" si="1"/>
        <v>100%</v>
      </c>
      <c r="J9" s="32" t="str">
        <f t="shared" si="2"/>
        <v>0%</v>
      </c>
      <c r="K9" s="35">
        <v>14.0</v>
      </c>
      <c r="L9" s="35">
        <v>4.0</v>
      </c>
      <c r="M9" s="64">
        <v>18.0</v>
      </c>
      <c r="N9" s="35">
        <v>3.0</v>
      </c>
      <c r="O9" s="121" t="str">
        <f t="shared" si="3"/>
        <v>78%</v>
      </c>
      <c r="P9" s="32" t="str">
        <f t="shared" si="4"/>
        <v>22%</v>
      </c>
      <c r="Q9" s="35">
        <v>18.0</v>
      </c>
      <c r="R9" s="35">
        <v>2.0</v>
      </c>
      <c r="S9" s="35">
        <v>20.0</v>
      </c>
      <c r="T9" s="35">
        <v>1.0</v>
      </c>
      <c r="U9" s="120" t="str">
        <f t="shared" si="5"/>
        <v>90%</v>
      </c>
      <c r="V9" s="42" t="str">
        <f t="shared" si="6"/>
        <v>10%</v>
      </c>
      <c r="W9" s="35">
        <v>18.0</v>
      </c>
      <c r="X9" s="35">
        <v>3.0</v>
      </c>
      <c r="Y9" s="64">
        <v>21.0</v>
      </c>
      <c r="Z9" s="35">
        <v>0.0</v>
      </c>
      <c r="AA9" s="121" t="str">
        <f t="shared" si="7"/>
        <v>86%</v>
      </c>
      <c r="AB9" s="32" t="str">
        <f t="shared" si="8"/>
        <v>14%</v>
      </c>
      <c r="AC9" s="35">
        <v>16.0</v>
      </c>
      <c r="AD9" s="35">
        <v>2.0</v>
      </c>
      <c r="AE9" s="54">
        <v>18.0</v>
      </c>
      <c r="AF9" s="35">
        <v>3.0</v>
      </c>
      <c r="AG9" s="120" t="str">
        <f t="shared" si="9"/>
        <v>89%</v>
      </c>
      <c r="AH9" s="32" t="str">
        <f t="shared" si="10"/>
        <v>11%</v>
      </c>
      <c r="AI9" s="35">
        <v>18.0</v>
      </c>
      <c r="AJ9" s="35">
        <v>2.0</v>
      </c>
      <c r="AK9" s="64">
        <v>20.0</v>
      </c>
      <c r="AL9" s="35">
        <v>1.0</v>
      </c>
      <c r="AM9" s="121" t="str">
        <f t="shared" si="11"/>
        <v>90%</v>
      </c>
      <c r="AN9" s="163" t="str">
        <f t="shared" si="12"/>
        <v>10%</v>
      </c>
    </row>
    <row r="10" ht="14.25" customHeight="1">
      <c r="A10" s="162" t="s">
        <v>157</v>
      </c>
      <c r="B10" s="54" t="s">
        <v>152</v>
      </c>
      <c r="C10" s="78" t="s">
        <v>109</v>
      </c>
      <c r="D10" s="54">
        <v>14.0</v>
      </c>
      <c r="E10" s="54">
        <v>9.0</v>
      </c>
      <c r="F10" s="54">
        <v>3.0</v>
      </c>
      <c r="G10" s="64">
        <v>12.0</v>
      </c>
      <c r="H10" s="35">
        <v>2.0</v>
      </c>
      <c r="I10" s="121" t="str">
        <f t="shared" si="1"/>
        <v>75%</v>
      </c>
      <c r="J10" s="32" t="str">
        <f t="shared" si="2"/>
        <v>25%</v>
      </c>
      <c r="K10" s="35">
        <v>14.0</v>
      </c>
      <c r="L10" s="35">
        <v>0.0</v>
      </c>
      <c r="M10" s="64">
        <v>14.0</v>
      </c>
      <c r="N10" s="35">
        <v>0.0</v>
      </c>
      <c r="O10" s="121" t="str">
        <f t="shared" si="3"/>
        <v>100%</v>
      </c>
      <c r="P10" s="32" t="str">
        <f t="shared" si="4"/>
        <v>0%</v>
      </c>
      <c r="Q10" s="35">
        <v>11.0</v>
      </c>
      <c r="R10" s="35">
        <v>1.0</v>
      </c>
      <c r="S10" s="35">
        <v>12.0</v>
      </c>
      <c r="T10" s="35">
        <v>2.0</v>
      </c>
      <c r="U10" s="121" t="str">
        <f t="shared" si="5"/>
        <v>92%</v>
      </c>
      <c r="V10" s="42" t="str">
        <f t="shared" si="6"/>
        <v>8%</v>
      </c>
      <c r="W10" s="35">
        <v>12.0</v>
      </c>
      <c r="X10" s="35">
        <v>0.0</v>
      </c>
      <c r="Y10" s="64">
        <v>12.0</v>
      </c>
      <c r="Z10" s="35">
        <v>2.0</v>
      </c>
      <c r="AA10" s="121" t="str">
        <f t="shared" si="7"/>
        <v>100%</v>
      </c>
      <c r="AB10" s="32" t="str">
        <f t="shared" si="8"/>
        <v>0%</v>
      </c>
      <c r="AC10" s="35">
        <v>10.0</v>
      </c>
      <c r="AD10" s="35">
        <v>1.0</v>
      </c>
      <c r="AE10" s="54">
        <v>11.0</v>
      </c>
      <c r="AF10" s="35">
        <v>3.0</v>
      </c>
      <c r="AG10" s="121" t="str">
        <f t="shared" si="9"/>
        <v>91%</v>
      </c>
      <c r="AH10" s="32" t="str">
        <f t="shared" si="10"/>
        <v>9%</v>
      </c>
      <c r="AI10" s="35">
        <v>12.0</v>
      </c>
      <c r="AJ10" s="35">
        <v>0.0</v>
      </c>
      <c r="AK10" s="64">
        <v>12.0</v>
      </c>
      <c r="AL10" s="35">
        <v>2.0</v>
      </c>
      <c r="AM10" s="121" t="str">
        <f t="shared" si="11"/>
        <v>100%</v>
      </c>
      <c r="AN10" s="163" t="str">
        <f t="shared" si="12"/>
        <v>0%</v>
      </c>
    </row>
    <row r="11" ht="14.25" customHeight="1">
      <c r="A11" s="169" t="s">
        <v>158</v>
      </c>
      <c r="B11" s="170" t="s">
        <v>152</v>
      </c>
      <c r="C11" s="171" t="s">
        <v>159</v>
      </c>
      <c r="D11" s="170">
        <v>16.0</v>
      </c>
      <c r="E11" s="170">
        <v>15.0</v>
      </c>
      <c r="F11" s="170">
        <v>1.0</v>
      </c>
      <c r="G11" s="172">
        <v>16.0</v>
      </c>
      <c r="H11" s="170">
        <v>0.0</v>
      </c>
      <c r="I11" s="173" t="str">
        <f t="shared" si="1"/>
        <v>94%</v>
      </c>
      <c r="J11" s="174" t="str">
        <f t="shared" si="2"/>
        <v>6%</v>
      </c>
      <c r="K11" s="170">
        <v>15.0</v>
      </c>
      <c r="L11" s="170">
        <v>1.0</v>
      </c>
      <c r="M11" s="172">
        <v>16.0</v>
      </c>
      <c r="N11" s="170">
        <v>2.0</v>
      </c>
      <c r="O11" s="173" t="str">
        <f t="shared" si="3"/>
        <v>94%</v>
      </c>
      <c r="P11" s="174" t="str">
        <f t="shared" si="4"/>
        <v>6%</v>
      </c>
      <c r="Q11" s="170">
        <v>15.0</v>
      </c>
      <c r="R11" s="170">
        <v>0.0</v>
      </c>
      <c r="S11" s="170">
        <v>15.0</v>
      </c>
      <c r="T11" s="170">
        <v>1.0</v>
      </c>
      <c r="U11" s="175" t="str">
        <f t="shared" si="5"/>
        <v>100%</v>
      </c>
      <c r="V11" s="176" t="str">
        <f t="shared" si="6"/>
        <v>0%</v>
      </c>
      <c r="W11" s="170">
        <v>14.0</v>
      </c>
      <c r="X11" s="170">
        <v>2.0</v>
      </c>
      <c r="Y11" s="172">
        <v>16.0</v>
      </c>
      <c r="Z11" s="170">
        <v>0.0</v>
      </c>
      <c r="AA11" s="173" t="str">
        <f t="shared" si="7"/>
        <v>88%</v>
      </c>
      <c r="AB11" s="174" t="str">
        <f t="shared" si="8"/>
        <v>13%</v>
      </c>
      <c r="AC11" s="170">
        <v>13.0</v>
      </c>
      <c r="AD11" s="170">
        <v>1.0</v>
      </c>
      <c r="AE11" s="170">
        <v>14.0</v>
      </c>
      <c r="AF11" s="170">
        <v>2.0</v>
      </c>
      <c r="AG11" s="175" t="str">
        <f t="shared" si="9"/>
        <v>93%</v>
      </c>
      <c r="AH11" s="174" t="str">
        <f t="shared" si="10"/>
        <v>7%</v>
      </c>
      <c r="AI11" s="170">
        <v>15.0</v>
      </c>
      <c r="AJ11" s="170">
        <v>1.0</v>
      </c>
      <c r="AK11" s="172">
        <v>16.0</v>
      </c>
      <c r="AL11" s="170">
        <v>0.0</v>
      </c>
      <c r="AM11" s="173" t="str">
        <f t="shared" si="11"/>
        <v>94%</v>
      </c>
      <c r="AN11" s="177" t="str">
        <f t="shared" si="12"/>
        <v>6%</v>
      </c>
    </row>
    <row r="12" ht="12.75" customHeight="1">
      <c r="B12" s="126" t="s">
        <v>112</v>
      </c>
      <c r="C12" s="178" t="s">
        <v>113</v>
      </c>
      <c r="D12" s="49" t="s">
        <v>64</v>
      </c>
      <c r="E12" s="91"/>
      <c r="F12" s="127"/>
      <c r="N12" s="127"/>
      <c r="S12" s="89"/>
    </row>
    <row r="13" ht="13.5" customHeight="1">
      <c r="B13" s="49" t="s">
        <v>160</v>
      </c>
      <c r="C13" s="49" t="s">
        <v>66</v>
      </c>
      <c r="D13" s="88" t="s">
        <v>67</v>
      </c>
      <c r="E13" s="91"/>
      <c r="F13" s="84"/>
      <c r="G13" s="85"/>
      <c r="I13" s="85"/>
      <c r="J13" s="85"/>
      <c r="K13" s="79"/>
      <c r="N13" s="179"/>
      <c r="O13" s="179"/>
      <c r="S13" s="145"/>
      <c r="T13" s="145"/>
      <c r="U13" s="145"/>
      <c r="V13" s="145"/>
      <c r="W13" s="146"/>
    </row>
    <row r="14" ht="12.75" customHeight="1">
      <c r="B14" s="49" t="s">
        <v>68</v>
      </c>
      <c r="C14" s="49" t="s">
        <v>69</v>
      </c>
      <c r="D14" s="131" t="s">
        <v>70</v>
      </c>
      <c r="E14" s="91"/>
      <c r="F14" s="89"/>
      <c r="G14" s="90"/>
      <c r="I14" s="91"/>
      <c r="J14" s="91"/>
      <c r="K14" s="91"/>
      <c r="N14" s="85" t="s">
        <v>115</v>
      </c>
      <c r="T14" s="85"/>
      <c r="U14" s="85"/>
      <c r="V14" s="85"/>
      <c r="W14" s="85"/>
    </row>
    <row r="15" ht="12.75" customHeight="1">
      <c r="B15" s="49" t="s">
        <v>117</v>
      </c>
      <c r="C15" s="49" t="s">
        <v>72</v>
      </c>
      <c r="D15" s="94" t="s">
        <v>73</v>
      </c>
      <c r="E15" s="91"/>
      <c r="F15" s="79"/>
      <c r="G15" s="79"/>
      <c r="I15" s="91"/>
      <c r="J15" s="91"/>
      <c r="K15" s="91"/>
      <c r="N15" s="85"/>
      <c r="Q15" s="91"/>
      <c r="T15" s="146"/>
      <c r="U15" s="79"/>
      <c r="V15" s="93"/>
      <c r="W15" s="79"/>
    </row>
    <row r="16" ht="14.25" customHeight="1">
      <c r="B16" s="91"/>
      <c r="D16" s="91"/>
      <c r="E16" s="91"/>
      <c r="F16" s="91"/>
      <c r="G16" s="79"/>
      <c r="I16" s="91"/>
      <c r="J16" s="91"/>
      <c r="K16" s="91"/>
      <c r="N16" s="85"/>
      <c r="Q16" s="91"/>
      <c r="T16" s="146"/>
      <c r="U16" s="79"/>
      <c r="V16" s="146"/>
      <c r="W16" s="79"/>
    </row>
    <row r="17" ht="13.5" customHeight="1">
      <c r="A17" s="126" t="s">
        <v>33</v>
      </c>
      <c r="B17" s="126" t="s">
        <v>74</v>
      </c>
      <c r="C17" s="126" t="s">
        <v>75</v>
      </c>
      <c r="D17" s="180" t="s">
        <v>35</v>
      </c>
      <c r="E17" s="3"/>
      <c r="F17" s="125" t="s">
        <v>76</v>
      </c>
      <c r="G17" s="2"/>
      <c r="H17" s="2"/>
      <c r="I17" s="2"/>
      <c r="J17" s="2"/>
      <c r="K17" s="2"/>
      <c r="L17" s="2"/>
      <c r="M17" s="181" t="s">
        <v>118</v>
      </c>
      <c r="N17" s="2"/>
      <c r="O17" s="2"/>
      <c r="P17" s="2"/>
      <c r="Q17" s="2"/>
      <c r="R17" s="2"/>
      <c r="S17" s="2"/>
      <c r="T17" s="2"/>
      <c r="U17" s="3"/>
      <c r="V17" s="148"/>
    </row>
    <row r="18" ht="75.0" customHeight="1">
      <c r="A18" s="182" t="s">
        <v>78</v>
      </c>
      <c r="B18" s="183"/>
      <c r="C18" s="182"/>
      <c r="D18" s="184" t="s">
        <v>119</v>
      </c>
      <c r="E18" s="3"/>
      <c r="F18" s="185" t="s">
        <v>161</v>
      </c>
      <c r="G18" s="2"/>
      <c r="H18" s="2"/>
      <c r="I18" s="2"/>
      <c r="J18" s="2"/>
      <c r="K18" s="2"/>
      <c r="L18" s="3"/>
      <c r="M18" s="185" t="s">
        <v>162</v>
      </c>
      <c r="N18" s="2"/>
      <c r="O18" s="2"/>
      <c r="P18" s="2"/>
      <c r="Q18" s="2"/>
      <c r="R18" s="2"/>
      <c r="S18" s="2"/>
      <c r="T18" s="2"/>
      <c r="U18" s="3"/>
    </row>
    <row r="19" ht="75.0" customHeight="1">
      <c r="A19" s="182" t="s">
        <v>83</v>
      </c>
      <c r="B19" s="183"/>
      <c r="C19" s="182"/>
      <c r="D19" s="184" t="s">
        <v>163</v>
      </c>
      <c r="E19" s="3"/>
      <c r="F19" s="185" t="s">
        <v>164</v>
      </c>
      <c r="G19" s="2"/>
      <c r="H19" s="2"/>
      <c r="I19" s="2"/>
      <c r="J19" s="2"/>
      <c r="K19" s="2"/>
      <c r="L19" s="3"/>
      <c r="M19" s="186" t="s">
        <v>165</v>
      </c>
      <c r="N19" s="2"/>
      <c r="O19" s="2"/>
      <c r="P19" s="2"/>
      <c r="Q19" s="2"/>
      <c r="R19" s="2"/>
      <c r="S19" s="2"/>
      <c r="T19" s="2"/>
      <c r="U19" s="3"/>
    </row>
    <row r="20" ht="14.25" customHeight="1">
      <c r="A20" s="187"/>
      <c r="B20" s="91"/>
      <c r="D20" s="91"/>
      <c r="E20" s="91"/>
      <c r="F20" s="188"/>
      <c r="G20" s="188"/>
      <c r="I20" s="189"/>
      <c r="J20" s="188"/>
      <c r="K20" s="189"/>
      <c r="L20" s="189"/>
      <c r="M20" s="189"/>
      <c r="N20" s="190"/>
      <c r="Q20" s="91"/>
    </row>
    <row r="21" ht="14.25" customHeight="1">
      <c r="B21" s="91"/>
      <c r="D21" s="91"/>
      <c r="E21" s="91"/>
      <c r="F21" s="79"/>
      <c r="G21" s="79"/>
      <c r="J21" s="91"/>
      <c r="N21" s="84"/>
      <c r="Q21" s="91"/>
    </row>
    <row r="22" ht="14.25" customHeight="1">
      <c r="B22" s="91"/>
      <c r="D22" s="91"/>
      <c r="E22" s="91"/>
      <c r="F22" s="127"/>
      <c r="G22" s="91"/>
      <c r="I22" s="91"/>
      <c r="J22" s="91"/>
      <c r="K22" s="91"/>
      <c r="N22" s="84"/>
      <c r="Q22" s="91"/>
    </row>
    <row r="23" ht="14.25" customHeight="1">
      <c r="B23" s="91"/>
      <c r="D23" s="91"/>
      <c r="E23" s="91"/>
      <c r="F23" s="91"/>
      <c r="G23" s="91"/>
      <c r="I23" s="91"/>
      <c r="J23" s="91"/>
      <c r="K23" s="91"/>
    </row>
    <row r="24" ht="14.25" customHeight="1">
      <c r="B24" s="91"/>
      <c r="D24" s="91"/>
      <c r="E24" s="91"/>
      <c r="F24" s="91"/>
      <c r="G24" s="91"/>
      <c r="I24" s="91"/>
      <c r="J24" s="91"/>
      <c r="K24" s="91"/>
    </row>
    <row r="25" ht="14.25" customHeight="1">
      <c r="B25" s="91"/>
      <c r="D25" s="91"/>
      <c r="E25" s="91"/>
      <c r="F25" s="145"/>
      <c r="G25" s="91"/>
      <c r="J25" s="91"/>
    </row>
    <row r="26" ht="14.25" customHeight="1">
      <c r="B26" s="91"/>
      <c r="D26" s="91"/>
      <c r="E26" s="91"/>
      <c r="F26" s="145"/>
      <c r="G26" s="91"/>
      <c r="J26" s="91"/>
    </row>
    <row r="27" ht="14.25" customHeight="1">
      <c r="B27" s="91"/>
      <c r="D27" s="91"/>
      <c r="E27" s="91"/>
      <c r="F27" s="145"/>
      <c r="G27" s="91"/>
      <c r="J27" s="91"/>
    </row>
    <row r="28" ht="30.0" customHeight="1">
      <c r="F28" s="191"/>
      <c r="G28" s="90"/>
    </row>
    <row r="29" ht="14.25" customHeight="1">
      <c r="G29" s="91"/>
    </row>
    <row r="30" ht="14.25" customHeight="1">
      <c r="G30" s="91"/>
    </row>
    <row r="31" ht="14.25" customHeight="1">
      <c r="B31" s="91"/>
      <c r="D31" s="91"/>
      <c r="E31" s="91"/>
      <c r="F31" s="91"/>
      <c r="G31" s="91"/>
    </row>
    <row r="32" ht="14.25" customHeight="1">
      <c r="B32" s="91"/>
      <c r="D32" s="91"/>
      <c r="E32" s="91"/>
      <c r="F32" s="91"/>
      <c r="G32" s="91"/>
    </row>
    <row r="33" ht="14.25" customHeight="1">
      <c r="B33" s="91"/>
      <c r="D33" s="91"/>
      <c r="E33" s="91"/>
      <c r="F33" s="91"/>
      <c r="G33" s="91"/>
    </row>
    <row r="34" ht="14.25" customHeight="1">
      <c r="B34" s="91"/>
      <c r="D34" s="91"/>
      <c r="E34" s="91"/>
      <c r="F34" s="91"/>
      <c r="G34" s="91"/>
    </row>
    <row r="35" ht="14.25" customHeight="1">
      <c r="B35" s="91"/>
      <c r="D35" s="91"/>
      <c r="E35" s="91"/>
      <c r="F35" s="91"/>
      <c r="G35" s="91"/>
    </row>
    <row r="36" ht="14.25" customHeight="1">
      <c r="B36" s="91"/>
      <c r="D36" s="91"/>
      <c r="E36" s="91"/>
      <c r="F36" s="91"/>
      <c r="G36" s="91"/>
    </row>
    <row r="37" ht="14.25" customHeight="1">
      <c r="B37" s="91"/>
      <c r="D37" s="91"/>
      <c r="E37" s="91"/>
      <c r="F37" s="91"/>
      <c r="G37" s="91"/>
    </row>
    <row r="38" ht="14.25" customHeight="1">
      <c r="B38" s="91"/>
      <c r="D38" s="91"/>
      <c r="E38" s="91"/>
      <c r="F38" s="91"/>
      <c r="G38" s="91"/>
    </row>
    <row r="39" ht="14.25" customHeight="1">
      <c r="B39" s="91"/>
      <c r="D39" s="91"/>
      <c r="E39" s="91"/>
      <c r="F39" s="91"/>
      <c r="G39" s="91"/>
    </row>
    <row r="40" ht="14.25" customHeight="1">
      <c r="B40" s="91"/>
      <c r="D40" s="91"/>
      <c r="E40" s="91"/>
      <c r="F40" s="91"/>
      <c r="G40" s="91"/>
    </row>
    <row r="41" ht="14.25" customHeight="1">
      <c r="B41" s="91"/>
      <c r="D41" s="91"/>
      <c r="E41" s="91"/>
      <c r="F41" s="91"/>
      <c r="G41" s="91"/>
    </row>
    <row r="42" ht="14.25" customHeight="1">
      <c r="B42" s="91"/>
      <c r="D42" s="91"/>
      <c r="E42" s="91"/>
      <c r="F42" s="91"/>
      <c r="G42" s="91"/>
    </row>
    <row r="43" ht="14.25" customHeight="1">
      <c r="B43" s="91"/>
      <c r="D43" s="91"/>
      <c r="E43" s="91"/>
      <c r="F43" s="91"/>
      <c r="G43" s="91"/>
    </row>
    <row r="44" ht="14.25" customHeight="1">
      <c r="B44" s="91"/>
      <c r="D44" s="91"/>
      <c r="E44" s="91"/>
      <c r="F44" s="91"/>
      <c r="G44" s="91"/>
    </row>
    <row r="45" ht="14.25" customHeight="1">
      <c r="B45" s="91"/>
      <c r="D45" s="91"/>
      <c r="E45" s="91"/>
      <c r="F45" s="91"/>
      <c r="G45" s="91"/>
    </row>
    <row r="46" ht="14.25" customHeight="1">
      <c r="B46" s="91"/>
      <c r="D46" s="91"/>
      <c r="E46" s="91"/>
      <c r="F46" s="91"/>
      <c r="G46" s="91"/>
    </row>
    <row r="47" ht="14.25" customHeight="1">
      <c r="B47" s="91"/>
      <c r="D47" s="91"/>
      <c r="E47" s="91"/>
      <c r="F47" s="91"/>
      <c r="G47" s="91"/>
    </row>
    <row r="48" ht="14.25" customHeight="1">
      <c r="B48" s="91"/>
      <c r="D48" s="91"/>
      <c r="E48" s="91"/>
      <c r="F48" s="91"/>
      <c r="G48" s="91"/>
    </row>
    <row r="49" ht="14.25" customHeight="1">
      <c r="B49" s="91"/>
      <c r="D49" s="91"/>
      <c r="E49" s="91"/>
      <c r="F49" s="91"/>
      <c r="G49" s="91"/>
    </row>
    <row r="50" ht="14.25" customHeight="1">
      <c r="B50" s="91"/>
      <c r="D50" s="91"/>
      <c r="E50" s="91"/>
      <c r="F50" s="91"/>
      <c r="G50" s="91"/>
    </row>
    <row r="51" ht="14.25" customHeight="1">
      <c r="B51" s="91"/>
      <c r="D51" s="91"/>
      <c r="E51" s="91"/>
      <c r="F51" s="91"/>
      <c r="G51" s="91"/>
    </row>
    <row r="52" ht="14.25" customHeight="1">
      <c r="B52" s="91"/>
      <c r="D52" s="91"/>
      <c r="E52" s="91"/>
      <c r="F52" s="91"/>
      <c r="G52" s="91"/>
    </row>
    <row r="53" ht="14.25" customHeight="1">
      <c r="B53" s="91"/>
      <c r="D53" s="91"/>
      <c r="E53" s="91"/>
      <c r="F53" s="91"/>
      <c r="G53" s="91"/>
    </row>
    <row r="54" ht="14.25" customHeight="1">
      <c r="B54" s="91"/>
      <c r="D54" s="91"/>
      <c r="E54" s="91"/>
      <c r="F54" s="91"/>
      <c r="G54" s="91"/>
    </row>
    <row r="55" ht="14.25" customHeight="1">
      <c r="B55" s="91"/>
      <c r="D55" s="91"/>
      <c r="E55" s="91"/>
      <c r="F55" s="91"/>
      <c r="G55" s="91"/>
    </row>
    <row r="56" ht="14.25" customHeight="1">
      <c r="B56" s="91"/>
      <c r="D56" s="91"/>
      <c r="E56" s="91"/>
      <c r="F56" s="91"/>
      <c r="G56" s="91"/>
    </row>
    <row r="57" ht="14.25" customHeight="1">
      <c r="B57" s="91"/>
      <c r="D57" s="91"/>
      <c r="E57" s="91"/>
      <c r="F57" s="91"/>
      <c r="G57" s="91"/>
    </row>
    <row r="58" ht="14.25" customHeight="1">
      <c r="B58" s="91"/>
      <c r="D58" s="91"/>
      <c r="E58" s="91"/>
      <c r="F58" s="91"/>
      <c r="G58" s="91"/>
    </row>
    <row r="59" ht="14.25" customHeight="1">
      <c r="B59" s="91"/>
      <c r="D59" s="91"/>
      <c r="E59" s="91"/>
      <c r="F59" s="91"/>
      <c r="G59" s="91"/>
    </row>
    <row r="60" ht="14.25" customHeight="1">
      <c r="B60" s="91"/>
      <c r="D60" s="91"/>
      <c r="E60" s="91"/>
      <c r="F60" s="91"/>
      <c r="G60" s="91"/>
    </row>
    <row r="61" ht="14.25" customHeight="1">
      <c r="B61" s="91"/>
      <c r="D61" s="91"/>
      <c r="E61" s="91"/>
      <c r="F61" s="91"/>
      <c r="G61" s="91"/>
    </row>
    <row r="62" ht="14.25" customHeight="1">
      <c r="B62" s="91"/>
      <c r="D62" s="91"/>
      <c r="E62" s="91"/>
      <c r="F62" s="91"/>
      <c r="G62" s="91"/>
    </row>
    <row r="63" ht="14.25" customHeight="1">
      <c r="B63" s="91"/>
      <c r="D63" s="91"/>
      <c r="E63" s="91"/>
      <c r="F63" s="91"/>
      <c r="G63" s="91"/>
    </row>
    <row r="64" ht="14.25" customHeight="1">
      <c r="B64" s="91"/>
      <c r="D64" s="91"/>
      <c r="E64" s="91"/>
      <c r="F64" s="91"/>
      <c r="G64" s="91"/>
    </row>
    <row r="65" ht="14.25" customHeight="1">
      <c r="B65" s="91"/>
      <c r="D65" s="91"/>
      <c r="E65" s="91"/>
      <c r="F65" s="91"/>
      <c r="G65" s="91"/>
    </row>
    <row r="66" ht="14.25" customHeight="1">
      <c r="B66" s="91"/>
      <c r="D66" s="91"/>
      <c r="E66" s="91"/>
      <c r="F66" s="91"/>
      <c r="G66" s="91"/>
    </row>
    <row r="67" ht="14.25" customHeight="1">
      <c r="B67" s="91"/>
      <c r="D67" s="91"/>
      <c r="E67" s="91"/>
      <c r="F67" s="91"/>
      <c r="G67" s="91"/>
    </row>
    <row r="68" ht="14.25" customHeight="1">
      <c r="B68" s="91"/>
      <c r="D68" s="91"/>
      <c r="E68" s="91"/>
      <c r="F68" s="91"/>
      <c r="G68" s="91"/>
    </row>
    <row r="69" ht="14.25" customHeight="1">
      <c r="B69" s="91"/>
      <c r="D69" s="91"/>
      <c r="E69" s="91"/>
      <c r="F69" s="91"/>
      <c r="G69" s="91"/>
    </row>
    <row r="70" ht="14.25" customHeight="1">
      <c r="B70" s="91"/>
      <c r="D70" s="91"/>
      <c r="E70" s="91"/>
      <c r="F70" s="91"/>
      <c r="G70" s="91"/>
    </row>
    <row r="71" ht="14.25" customHeight="1">
      <c r="B71" s="91"/>
      <c r="D71" s="91"/>
      <c r="E71" s="91"/>
      <c r="F71" s="91"/>
      <c r="G71" s="91"/>
    </row>
    <row r="72" ht="14.25" customHeight="1">
      <c r="B72" s="91"/>
      <c r="D72" s="91"/>
      <c r="E72" s="91"/>
      <c r="F72" s="91"/>
      <c r="G72" s="91"/>
    </row>
    <row r="73" ht="14.25" customHeight="1">
      <c r="B73" s="91"/>
      <c r="D73" s="91"/>
      <c r="E73" s="91"/>
      <c r="F73" s="91"/>
      <c r="G73" s="91"/>
    </row>
    <row r="74" ht="14.25" customHeight="1">
      <c r="B74" s="91"/>
      <c r="D74" s="91"/>
      <c r="E74" s="91"/>
      <c r="F74" s="91"/>
      <c r="G74" s="91"/>
    </row>
    <row r="75" ht="14.25" customHeight="1">
      <c r="B75" s="91"/>
      <c r="D75" s="91"/>
      <c r="E75" s="91"/>
      <c r="F75" s="91"/>
      <c r="G75" s="91"/>
    </row>
    <row r="76" ht="14.25" customHeight="1">
      <c r="B76" s="91"/>
      <c r="D76" s="91"/>
      <c r="E76" s="91"/>
      <c r="F76" s="91"/>
      <c r="G76" s="91"/>
    </row>
    <row r="77" ht="14.25" customHeight="1">
      <c r="B77" s="91"/>
      <c r="D77" s="91"/>
      <c r="E77" s="91"/>
      <c r="F77" s="91"/>
      <c r="G77" s="91"/>
    </row>
    <row r="78" ht="14.25" customHeight="1">
      <c r="B78" s="91"/>
      <c r="D78" s="91"/>
      <c r="E78" s="91"/>
      <c r="F78" s="91"/>
      <c r="G78" s="91"/>
    </row>
    <row r="79" ht="14.25" customHeight="1">
      <c r="B79" s="91"/>
      <c r="D79" s="91"/>
      <c r="E79" s="91"/>
      <c r="F79" s="91"/>
      <c r="G79" s="91"/>
    </row>
    <row r="80" ht="14.25" customHeight="1">
      <c r="B80" s="91"/>
      <c r="D80" s="91"/>
      <c r="E80" s="91"/>
      <c r="F80" s="91"/>
      <c r="G80" s="91"/>
    </row>
    <row r="81" ht="14.25" customHeight="1">
      <c r="B81" s="91"/>
      <c r="D81" s="91"/>
      <c r="E81" s="91"/>
      <c r="F81" s="91"/>
      <c r="G81" s="91"/>
    </row>
    <row r="82" ht="14.25" customHeight="1">
      <c r="B82" s="91"/>
      <c r="D82" s="91"/>
      <c r="E82" s="91"/>
      <c r="F82" s="91"/>
      <c r="G82" s="91"/>
    </row>
    <row r="83" ht="14.25" customHeight="1">
      <c r="B83" s="91"/>
      <c r="D83" s="91"/>
      <c r="E83" s="91"/>
      <c r="F83" s="91"/>
      <c r="G83" s="91"/>
    </row>
    <row r="84" ht="14.25" customHeight="1">
      <c r="B84" s="91"/>
      <c r="D84" s="91"/>
      <c r="E84" s="91"/>
      <c r="F84" s="91"/>
      <c r="G84" s="91"/>
    </row>
    <row r="85" ht="14.25" customHeight="1">
      <c r="B85" s="91"/>
      <c r="D85" s="91"/>
      <c r="E85" s="91"/>
      <c r="F85" s="91"/>
      <c r="G85" s="91"/>
    </row>
    <row r="86" ht="14.25" customHeight="1">
      <c r="B86" s="91"/>
      <c r="D86" s="91"/>
      <c r="E86" s="91"/>
      <c r="F86" s="91"/>
      <c r="G86" s="91"/>
    </row>
    <row r="87" ht="14.25" customHeight="1">
      <c r="B87" s="91"/>
      <c r="D87" s="91"/>
      <c r="E87" s="91"/>
      <c r="F87" s="91"/>
      <c r="G87" s="91"/>
    </row>
    <row r="88" ht="14.25" customHeight="1">
      <c r="B88" s="91"/>
      <c r="D88" s="91"/>
      <c r="E88" s="91"/>
      <c r="F88" s="91"/>
      <c r="G88" s="91"/>
    </row>
    <row r="89" ht="14.25" customHeight="1">
      <c r="B89" s="91"/>
      <c r="D89" s="91"/>
      <c r="E89" s="91"/>
      <c r="F89" s="91"/>
      <c r="G89" s="91"/>
    </row>
    <row r="90" ht="14.25" customHeight="1">
      <c r="B90" s="91"/>
      <c r="D90" s="91"/>
      <c r="E90" s="91"/>
      <c r="F90" s="91"/>
      <c r="G90" s="91"/>
    </row>
    <row r="91" ht="14.25" customHeight="1">
      <c r="B91" s="91"/>
      <c r="D91" s="91"/>
      <c r="E91" s="91"/>
      <c r="F91" s="91"/>
      <c r="G91" s="91"/>
    </row>
    <row r="92" ht="14.25" customHeight="1">
      <c r="B92" s="91"/>
      <c r="D92" s="91"/>
      <c r="E92" s="91"/>
      <c r="F92" s="91"/>
      <c r="G92" s="91"/>
    </row>
    <row r="93" ht="14.25" customHeight="1">
      <c r="B93" s="91"/>
      <c r="D93" s="91"/>
      <c r="E93" s="91"/>
      <c r="F93" s="91"/>
      <c r="G93" s="91"/>
    </row>
    <row r="94" ht="14.25" customHeight="1">
      <c r="B94" s="91"/>
      <c r="D94" s="91"/>
      <c r="E94" s="91"/>
      <c r="F94" s="91"/>
      <c r="G94" s="91"/>
    </row>
    <row r="95" ht="14.25" customHeight="1">
      <c r="B95" s="91"/>
      <c r="D95" s="91"/>
      <c r="E95" s="91"/>
      <c r="F95" s="91"/>
      <c r="G95" s="91"/>
    </row>
    <row r="96" ht="14.25" customHeight="1">
      <c r="B96" s="91"/>
      <c r="D96" s="91"/>
      <c r="E96" s="91"/>
      <c r="F96" s="91"/>
      <c r="G96" s="91"/>
    </row>
    <row r="97" ht="14.25" customHeight="1">
      <c r="B97" s="91"/>
      <c r="D97" s="91"/>
      <c r="E97" s="91"/>
      <c r="F97" s="91"/>
      <c r="G97" s="91"/>
    </row>
    <row r="98" ht="14.25" customHeight="1">
      <c r="B98" s="91"/>
      <c r="D98" s="91"/>
      <c r="E98" s="91"/>
      <c r="F98" s="91"/>
      <c r="G98" s="91"/>
    </row>
    <row r="99" ht="14.25" customHeight="1">
      <c r="B99" s="91"/>
      <c r="D99" s="91"/>
      <c r="E99" s="91"/>
      <c r="F99" s="91"/>
      <c r="G99" s="91"/>
    </row>
    <row r="100" ht="14.25" customHeight="1">
      <c r="B100" s="91"/>
      <c r="D100" s="91"/>
      <c r="E100" s="91"/>
      <c r="F100" s="91"/>
      <c r="G100" s="91"/>
    </row>
  </sheetData>
  <mergeCells count="55">
    <mergeCell ref="N15:P15"/>
    <mergeCell ref="Q15:S15"/>
    <mergeCell ref="S12:W12"/>
    <mergeCell ref="N12:P12"/>
    <mergeCell ref="AG3:AH3"/>
    <mergeCell ref="AM3:AN3"/>
    <mergeCell ref="D2:J2"/>
    <mergeCell ref="G3:H3"/>
    <mergeCell ref="AI2:AN2"/>
    <mergeCell ref="I3:J3"/>
    <mergeCell ref="O3:P3"/>
    <mergeCell ref="U3:V3"/>
    <mergeCell ref="AA3:AB3"/>
    <mergeCell ref="AC2:AH2"/>
    <mergeCell ref="K13:L13"/>
    <mergeCell ref="G13:H13"/>
    <mergeCell ref="N14:S14"/>
    <mergeCell ref="N16:P16"/>
    <mergeCell ref="Q16:S16"/>
    <mergeCell ref="F17:L17"/>
    <mergeCell ref="M17:U17"/>
    <mergeCell ref="F18:L18"/>
    <mergeCell ref="D17:E17"/>
    <mergeCell ref="A1:AB1"/>
    <mergeCell ref="K2:P2"/>
    <mergeCell ref="Q2:V2"/>
    <mergeCell ref="W2:AB2"/>
    <mergeCell ref="G14:H14"/>
    <mergeCell ref="M18:U18"/>
    <mergeCell ref="F12:K12"/>
    <mergeCell ref="N22:P22"/>
    <mergeCell ref="Q22:S22"/>
    <mergeCell ref="N20:P20"/>
    <mergeCell ref="Q20:S20"/>
    <mergeCell ref="N21:P21"/>
    <mergeCell ref="Q21:S21"/>
    <mergeCell ref="A2:C2"/>
    <mergeCell ref="A6:A7"/>
    <mergeCell ref="G21:H21"/>
    <mergeCell ref="G20:H20"/>
    <mergeCell ref="G25:H25"/>
    <mergeCell ref="G26:H26"/>
    <mergeCell ref="M19:U19"/>
    <mergeCell ref="D19:E19"/>
    <mergeCell ref="F19:L19"/>
    <mergeCell ref="G22:H22"/>
    <mergeCell ref="G23:H23"/>
    <mergeCell ref="D18:E18"/>
    <mergeCell ref="G15:H15"/>
    <mergeCell ref="G16:H16"/>
    <mergeCell ref="G28:H28"/>
    <mergeCell ref="G29:H29"/>
    <mergeCell ref="G30:H30"/>
    <mergeCell ref="G27:H27"/>
    <mergeCell ref="G24:H24"/>
  </mergeCells>
  <conditionalFormatting sqref="I5:I11 O5:O11 U5:U11 AA5:AA11 AG5:AG11 AM5:AM11">
    <cfRule type="cellIs" dxfId="9" priority="1" operator="greaterThan">
      <formula>0.5</formula>
    </cfRule>
  </conditionalFormatting>
  <conditionalFormatting sqref="I5:I11 O5:O11 U5:U11 AA5:AA11 AG5:AG11 AM5:AM11">
    <cfRule type="cellIs" dxfId="10" priority="2" operator="lessThan">
      <formula>0.5</formula>
    </cfRule>
  </conditionalFormatting>
  <conditionalFormatting sqref="I5:I11">
    <cfRule type="cellIs" dxfId="9" priority="3" operator="between">
      <formula>0.5</formula>
      <formula>0.74</formula>
    </cfRule>
  </conditionalFormatting>
  <conditionalFormatting sqref="I5:I11">
    <cfRule type="cellIs" dxfId="12" priority="4" operator="between">
      <formula>0</formula>
      <formula>0.49</formula>
    </cfRule>
  </conditionalFormatting>
  <conditionalFormatting sqref="I8:I11">
    <cfRule type="colorScale" priority="5">
      <colorScale>
        <cfvo type="percent" val="0-50"/>
        <cfvo type="percent" val="75-100"/>
        <color rgb="FFBDD6EE"/>
        <color/>
      </colorScale>
    </cfRule>
  </conditionalFormatting>
  <conditionalFormatting sqref="I5:I11 O5:O11 U5:U11 AA5:AA11 AG5:AG11 AM5:AM11">
    <cfRule type="cellIs" dxfId="11" priority="6" operator="greaterThan">
      <formula>0.74</formula>
    </cfRule>
  </conditionalFormatting>
  <conditionalFormatting sqref="O5:O11">
    <cfRule type="cellIs" dxfId="10" priority="7" operator="lessThan">
      <formula>0.5</formula>
    </cfRule>
  </conditionalFormatting>
  <conditionalFormatting sqref="O5:O11">
    <cfRule type="colorScale" priority="8">
      <colorScale>
        <cfvo type="percent" val="0-50"/>
        <cfvo type="percent" val="75-100"/>
        <color rgb="FF9CC2E5"/>
        <color rgb="FFFFEF9C"/>
      </colorScale>
    </cfRule>
  </conditionalFormatting>
  <conditionalFormatting sqref="O6:O8 O10">
    <cfRule type="cellIs" dxfId="9" priority="9" operator="between">
      <formula>0.5</formula>
      <formula>0.74</formula>
    </cfRule>
  </conditionalFormatting>
  <conditionalFormatting sqref="O6:O8 O10">
    <cfRule type="cellIs" dxfId="12" priority="10" operator="between">
      <formula>0</formula>
      <formula>0.49</formula>
    </cfRule>
  </conditionalFormatting>
  <conditionalFormatting sqref="O6:O8 O10">
    <cfRule type="colorScale" priority="11">
      <colorScale>
        <cfvo type="percent" val="0-50"/>
        <cfvo type="percent" val="75-100"/>
        <color rgb="FF9CC2E5"/>
        <color rgb="FFFFEF9C"/>
      </colorScale>
    </cfRule>
  </conditionalFormatting>
  <conditionalFormatting sqref="O8:O11">
    <cfRule type="colorScale" priority="12">
      <colorScale>
        <cfvo type="percent" val="0-50"/>
        <cfvo type="percent" val="75-100"/>
        <color rgb="FFBDD6EE"/>
        <color/>
      </colorScale>
    </cfRule>
  </conditionalFormatting>
  <conditionalFormatting sqref="U5:U11">
    <cfRule type="colorScale" priority="13">
      <colorScale>
        <cfvo type="percent" val="0-50"/>
        <cfvo type="percent" val="75-100"/>
        <color rgb="FF9CC2E5"/>
        <color rgb="FFFFEF9C"/>
      </colorScale>
    </cfRule>
  </conditionalFormatting>
  <conditionalFormatting sqref="U6:U8 U10">
    <cfRule type="cellIs" dxfId="9" priority="14" operator="between">
      <formula>0.5</formula>
      <formula>0.74</formula>
    </cfRule>
  </conditionalFormatting>
  <conditionalFormatting sqref="U6:U8 U10">
    <cfRule type="cellIs" dxfId="12" priority="15" operator="between">
      <formula>0</formula>
      <formula>0.49</formula>
    </cfRule>
  </conditionalFormatting>
  <conditionalFormatting sqref="U6:U8 U10">
    <cfRule type="colorScale" priority="16">
      <colorScale>
        <cfvo type="percent" val="0-50"/>
        <cfvo type="percent" val="75-100"/>
        <color rgb="FF9CC2E5"/>
        <color rgb="FFFFEF9C"/>
      </colorScale>
    </cfRule>
  </conditionalFormatting>
  <conditionalFormatting sqref="U8:U11">
    <cfRule type="colorScale" priority="17">
      <colorScale>
        <cfvo type="percent" val="0-50"/>
        <cfvo type="percent" val="75-100"/>
        <color rgb="FFBDD6EE"/>
        <color/>
      </colorScale>
    </cfRule>
  </conditionalFormatting>
  <conditionalFormatting sqref="AA5:AA11">
    <cfRule type="colorScale" priority="18">
      <colorScale>
        <cfvo type="percent" val="0-50"/>
        <cfvo type="percent" val="75-100"/>
        <color rgb="FF9CC2E5"/>
        <color rgb="FFFFEF9C"/>
      </colorScale>
    </cfRule>
  </conditionalFormatting>
  <conditionalFormatting sqref="AA6:AA8 AA10">
    <cfRule type="cellIs" dxfId="9" priority="19" operator="between">
      <formula>0.5</formula>
      <formula>0.74</formula>
    </cfRule>
  </conditionalFormatting>
  <conditionalFormatting sqref="AA6:AA8 AA10">
    <cfRule type="cellIs" dxfId="12" priority="20" operator="between">
      <formula>0</formula>
      <formula>0.49</formula>
    </cfRule>
  </conditionalFormatting>
  <conditionalFormatting sqref="AA6:AA8 AA10">
    <cfRule type="colorScale" priority="21">
      <colorScale>
        <cfvo type="percent" val="0-50"/>
        <cfvo type="percent" val="75-100"/>
        <color rgb="FF9CC2E5"/>
        <color rgb="FFFFEF9C"/>
      </colorScale>
    </cfRule>
  </conditionalFormatting>
  <conditionalFormatting sqref="AA8:AA11">
    <cfRule type="colorScale" priority="22">
      <colorScale>
        <cfvo type="percent" val="0-50"/>
        <cfvo type="percent" val="75-100"/>
        <color rgb="FFBDD6EE"/>
        <color/>
      </colorScale>
    </cfRule>
  </conditionalFormatting>
  <conditionalFormatting sqref="AG5:AG11">
    <cfRule type="colorScale" priority="23">
      <colorScale>
        <cfvo type="percent" val="0-50"/>
        <cfvo type="percent" val="75-100"/>
        <color rgb="FF9CC2E5"/>
        <color rgb="FFFFEF9C"/>
      </colorScale>
    </cfRule>
  </conditionalFormatting>
  <conditionalFormatting sqref="AG6:AG8 AG10">
    <cfRule type="cellIs" dxfId="9" priority="24" operator="between">
      <formula>0.5</formula>
      <formula>0.74</formula>
    </cfRule>
  </conditionalFormatting>
  <conditionalFormatting sqref="AG6:AG8 AG10">
    <cfRule type="cellIs" dxfId="12" priority="25" operator="between">
      <formula>0</formula>
      <formula>0.49</formula>
    </cfRule>
  </conditionalFormatting>
  <conditionalFormatting sqref="AG6:AG8 AG10">
    <cfRule type="colorScale" priority="26">
      <colorScale>
        <cfvo type="percent" val="0-50"/>
        <cfvo type="percent" val="75-100"/>
        <color rgb="FF9CC2E5"/>
        <color rgb="FFFFEF9C"/>
      </colorScale>
    </cfRule>
  </conditionalFormatting>
  <conditionalFormatting sqref="AG8:AG11">
    <cfRule type="colorScale" priority="27">
      <colorScale>
        <cfvo type="percent" val="0-50"/>
        <cfvo type="percent" val="75-100"/>
        <color rgb="FFBDD6EE"/>
        <color/>
      </colorScale>
    </cfRule>
  </conditionalFormatting>
  <conditionalFormatting sqref="AM5:AM11">
    <cfRule type="colorScale" priority="28">
      <colorScale>
        <cfvo type="percent" val="0-50"/>
        <cfvo type="percent" val="75-100"/>
        <color rgb="FF9CC2E5"/>
        <color rgb="FFFFEF9C"/>
      </colorScale>
    </cfRule>
  </conditionalFormatting>
  <conditionalFormatting sqref="AM6:AM8 AM10">
    <cfRule type="cellIs" dxfId="9" priority="29" operator="between">
      <formula>0.5</formula>
      <formula>0.74</formula>
    </cfRule>
  </conditionalFormatting>
  <conditionalFormatting sqref="AM6:AM8 AM10">
    <cfRule type="cellIs" dxfId="12" priority="30" operator="between">
      <formula>0</formula>
      <formula>0.49</formula>
    </cfRule>
  </conditionalFormatting>
  <conditionalFormatting sqref="AM6:AM8 AM10">
    <cfRule type="colorScale" priority="31">
      <colorScale>
        <cfvo type="percent" val="0-50"/>
        <cfvo type="percent" val="75-100"/>
        <color rgb="FF9CC2E5"/>
        <color rgb="FFFFEF9C"/>
      </colorScale>
    </cfRule>
  </conditionalFormatting>
  <conditionalFormatting sqref="AM8:AM11">
    <cfRule type="colorScale" priority="32">
      <colorScale>
        <cfvo type="percent" val="0-50"/>
        <cfvo type="percent" val="75-100"/>
        <color rgb="FFBDD6EE"/>
        <color/>
      </colorScale>
    </cfRule>
  </conditionalFormatting>
  <conditionalFormatting sqref="AN5:AN11">
    <cfRule type="colorScale" priority="33">
      <colorScale>
        <cfvo type="percent" val="0-50"/>
        <cfvo type="percent" val="75-100"/>
        <color rgb="FFBDD6EE"/>
        <color/>
      </colorScale>
    </cfRule>
  </conditionalFormatting>
  <conditionalFormatting sqref="I5:I11">
    <cfRule type="colorScale" priority="34">
      <colorScale>
        <cfvo type="percent" val="0-50"/>
        <cfvo type="percent" val="75-100"/>
        <color rgb="FF9CC2E5"/>
        <color rgb="FFFFEF9C"/>
      </colorScale>
    </cfRule>
  </conditionalFormatting>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4"/>
    <col customWidth="1" min="2" max="2" width="6.14"/>
    <col customWidth="1" min="3" max="4" width="19.14"/>
    <col customWidth="1" min="5" max="5" width="5.57"/>
    <col customWidth="1" min="6" max="6" width="5.43"/>
    <col customWidth="1" min="7" max="7" width="5.0"/>
    <col customWidth="1" min="8" max="8" width="8.14"/>
    <col customWidth="1" min="9" max="9" width="5.86"/>
    <col customWidth="1" min="10" max="10" width="4.86"/>
    <col customWidth="1" min="11" max="11" width="6.43"/>
    <col customWidth="1" min="12" max="12" width="6.0"/>
    <col customWidth="1" min="13" max="13" width="7.0"/>
    <col customWidth="1" min="14" max="14" width="7.43"/>
    <col customWidth="1" min="15" max="16" width="5.57"/>
    <col customWidth="1" min="17" max="17" width="6.14"/>
    <col customWidth="1" min="18" max="18" width="5.86"/>
    <col customWidth="1" min="19" max="19" width="6.43"/>
    <col customWidth="1" min="20" max="20" width="7.43"/>
    <col customWidth="1" min="21" max="21" width="6.57"/>
    <col customWidth="1" min="22" max="22" width="5.57"/>
    <col customWidth="1" min="23" max="23" width="6.57"/>
    <col customWidth="1" min="24" max="24" width="5.57"/>
    <col customWidth="1" min="25" max="25" width="6.86"/>
    <col customWidth="1" min="26" max="26" width="6.57"/>
    <col customWidth="1" min="27" max="27" width="6.14"/>
    <col customWidth="1" min="28" max="28" width="4.57"/>
    <col customWidth="1" min="29" max="29" width="6.43"/>
    <col customWidth="1" min="30" max="30" width="5.43"/>
    <col customWidth="1" min="31" max="31" width="6.43"/>
    <col customWidth="1" min="32" max="32" width="7.14"/>
    <col customWidth="1" min="33" max="33" width="5.86"/>
    <col customWidth="1" min="34" max="35" width="6.43"/>
    <col customWidth="1" min="36" max="36" width="5.43"/>
    <col customWidth="1" min="37" max="37" width="6.0"/>
    <col customWidth="1" min="38" max="38" width="8.0"/>
    <col customWidth="1" min="39" max="39" width="5.57"/>
    <col customWidth="1" min="40" max="40" width="6.14"/>
    <col customWidth="1" min="41" max="41" width="6.86"/>
    <col customWidth="1" min="42" max="42" width="6.43"/>
    <col customWidth="1" min="43" max="43" width="7.14"/>
    <col customWidth="1" min="44" max="44" width="6.86"/>
    <col customWidth="1" min="45" max="45" width="7.0"/>
    <col customWidth="1" min="46" max="46" width="6.57"/>
    <col customWidth="1" min="47" max="47" width="6.86"/>
    <col customWidth="1" min="48" max="48" width="6.43"/>
    <col customWidth="1" min="49" max="49" width="6.14"/>
    <col customWidth="1" min="50" max="50" width="7.43"/>
    <col customWidth="1" min="51" max="51" width="7.0"/>
    <col customWidth="1" min="52" max="52" width="6.57"/>
  </cols>
  <sheetData>
    <row r="1" ht="14.25" customHeight="1">
      <c r="A1" s="139" t="s">
        <v>166</v>
      </c>
      <c r="B1" s="2"/>
      <c r="C1" s="2"/>
      <c r="D1" s="2"/>
      <c r="E1" s="2"/>
      <c r="F1" s="2"/>
      <c r="G1" s="2"/>
      <c r="H1" s="2"/>
      <c r="I1" s="2"/>
      <c r="J1" s="2"/>
      <c r="K1" s="2"/>
      <c r="L1" s="2"/>
      <c r="M1" s="2"/>
      <c r="N1" s="2"/>
      <c r="O1" s="2"/>
      <c r="P1" s="2"/>
      <c r="Q1" s="2"/>
      <c r="R1" s="2"/>
      <c r="S1" s="2"/>
      <c r="T1" s="2"/>
      <c r="U1" s="2"/>
      <c r="V1" s="2"/>
      <c r="W1" s="2"/>
      <c r="X1" s="2"/>
      <c r="Y1" s="2"/>
      <c r="Z1" s="2"/>
      <c r="AA1" s="2"/>
      <c r="AB1" s="3"/>
    </row>
    <row r="2" ht="14.25" customHeight="1">
      <c r="A2" s="7"/>
      <c r="B2" s="2"/>
      <c r="C2" s="2"/>
      <c r="D2" s="7" t="s">
        <v>1</v>
      </c>
      <c r="E2" s="2"/>
      <c r="F2" s="2"/>
      <c r="G2" s="2"/>
      <c r="H2" s="2"/>
      <c r="I2" s="2"/>
      <c r="J2" s="3"/>
      <c r="K2" s="7" t="s">
        <v>2</v>
      </c>
      <c r="L2" s="2"/>
      <c r="M2" s="2"/>
      <c r="N2" s="2"/>
      <c r="O2" s="2"/>
      <c r="P2" s="3"/>
      <c r="Q2" s="7" t="s">
        <v>3</v>
      </c>
      <c r="R2" s="2"/>
      <c r="S2" s="2"/>
      <c r="T2" s="2"/>
      <c r="U2" s="2"/>
      <c r="V2" s="3"/>
      <c r="W2" s="7" t="s">
        <v>127</v>
      </c>
      <c r="X2" s="2"/>
      <c r="Y2" s="2"/>
      <c r="Z2" s="2"/>
      <c r="AA2" s="2"/>
      <c r="AB2" s="3"/>
      <c r="AC2" s="7" t="s">
        <v>167</v>
      </c>
      <c r="AD2" s="2"/>
      <c r="AE2" s="2"/>
      <c r="AF2" s="2"/>
      <c r="AG2" s="2"/>
      <c r="AH2" s="3"/>
      <c r="AI2" s="7" t="s">
        <v>168</v>
      </c>
      <c r="AJ2" s="2"/>
      <c r="AK2" s="2"/>
      <c r="AL2" s="2"/>
      <c r="AM2" s="2"/>
      <c r="AN2" s="3"/>
      <c r="AO2" s="7" t="s">
        <v>169</v>
      </c>
      <c r="AP2" s="2"/>
      <c r="AQ2" s="2"/>
      <c r="AR2" s="2"/>
      <c r="AS2" s="2"/>
      <c r="AT2" s="3"/>
      <c r="AU2" s="7" t="s">
        <v>170</v>
      </c>
      <c r="AV2" s="2"/>
      <c r="AW2" s="2"/>
      <c r="AX2" s="2"/>
      <c r="AY2" s="2"/>
      <c r="AZ2" s="3"/>
    </row>
    <row r="3" ht="14.25" customHeight="1">
      <c r="A3" s="192" t="s">
        <v>33</v>
      </c>
      <c r="B3" s="192" t="s">
        <v>34</v>
      </c>
      <c r="C3" s="192" t="s">
        <v>35</v>
      </c>
      <c r="D3" s="27" t="s">
        <v>97</v>
      </c>
      <c r="E3" s="27" t="s">
        <v>38</v>
      </c>
      <c r="F3" s="27" t="s">
        <v>39</v>
      </c>
      <c r="G3" s="7" t="s">
        <v>40</v>
      </c>
      <c r="H3" s="3"/>
      <c r="I3" s="7" t="s">
        <v>41</v>
      </c>
      <c r="J3" s="3"/>
      <c r="K3" s="4" t="s">
        <v>38</v>
      </c>
      <c r="L3" s="4" t="s">
        <v>39</v>
      </c>
      <c r="M3" s="31" t="s">
        <v>40</v>
      </c>
      <c r="N3" s="31"/>
      <c r="O3" s="7" t="s">
        <v>41</v>
      </c>
      <c r="P3" s="3"/>
      <c r="Q3" s="4" t="s">
        <v>38</v>
      </c>
      <c r="R3" s="4" t="s">
        <v>39</v>
      </c>
      <c r="S3" s="31" t="s">
        <v>40</v>
      </c>
      <c r="T3" s="31"/>
      <c r="U3" s="7" t="s">
        <v>41</v>
      </c>
      <c r="V3" s="3"/>
      <c r="W3" s="4" t="s">
        <v>38</v>
      </c>
      <c r="X3" s="4" t="s">
        <v>39</v>
      </c>
      <c r="Y3" s="31" t="s">
        <v>40</v>
      </c>
      <c r="Z3" s="31"/>
      <c r="AA3" s="7" t="s">
        <v>41</v>
      </c>
      <c r="AB3" s="3"/>
      <c r="AC3" s="4" t="s">
        <v>38</v>
      </c>
      <c r="AD3" s="4" t="s">
        <v>39</v>
      </c>
      <c r="AE3" s="31" t="s">
        <v>40</v>
      </c>
      <c r="AF3" s="31"/>
      <c r="AG3" s="7" t="s">
        <v>41</v>
      </c>
      <c r="AH3" s="3"/>
      <c r="AI3" s="4" t="s">
        <v>38</v>
      </c>
      <c r="AJ3" s="4" t="s">
        <v>39</v>
      </c>
      <c r="AK3" s="31" t="s">
        <v>40</v>
      </c>
      <c r="AL3" s="31"/>
      <c r="AM3" s="7" t="s">
        <v>41</v>
      </c>
      <c r="AN3" s="3"/>
      <c r="AO3" s="4" t="s">
        <v>38</v>
      </c>
      <c r="AP3" s="4" t="s">
        <v>39</v>
      </c>
      <c r="AQ3" s="31" t="s">
        <v>40</v>
      </c>
      <c r="AR3" s="31"/>
      <c r="AS3" s="7" t="s">
        <v>41</v>
      </c>
      <c r="AT3" s="3"/>
      <c r="AU3" s="4" t="s">
        <v>38</v>
      </c>
      <c r="AV3" s="4" t="s">
        <v>39</v>
      </c>
      <c r="AW3" s="31" t="s">
        <v>40</v>
      </c>
      <c r="AX3" s="31"/>
      <c r="AY3" s="7" t="s">
        <v>41</v>
      </c>
      <c r="AZ3" s="3"/>
    </row>
    <row r="4" ht="14.25" customHeight="1">
      <c r="A4" s="71"/>
      <c r="B4" s="71"/>
      <c r="C4" s="71"/>
      <c r="D4" s="27"/>
      <c r="E4" s="27"/>
      <c r="F4" s="27"/>
      <c r="G4" s="27"/>
      <c r="H4" s="4" t="s">
        <v>37</v>
      </c>
      <c r="I4" s="27" t="s">
        <v>38</v>
      </c>
      <c r="J4" s="27" t="s">
        <v>39</v>
      </c>
      <c r="K4" s="4"/>
      <c r="L4" s="4"/>
      <c r="M4" s="4"/>
      <c r="N4" s="4" t="s">
        <v>37</v>
      </c>
      <c r="O4" s="27" t="s">
        <v>38</v>
      </c>
      <c r="P4" s="27" t="s">
        <v>39</v>
      </c>
      <c r="Q4" s="4"/>
      <c r="R4" s="4"/>
      <c r="S4" s="4"/>
      <c r="T4" s="4" t="s">
        <v>37</v>
      </c>
      <c r="U4" s="27" t="s">
        <v>38</v>
      </c>
      <c r="V4" s="27" t="s">
        <v>39</v>
      </c>
      <c r="W4" s="4"/>
      <c r="X4" s="4"/>
      <c r="Y4" s="4"/>
      <c r="Z4" s="4" t="s">
        <v>37</v>
      </c>
      <c r="AA4" s="27" t="s">
        <v>38</v>
      </c>
      <c r="AB4" s="27" t="s">
        <v>39</v>
      </c>
      <c r="AC4" s="4"/>
      <c r="AD4" s="4"/>
      <c r="AE4" s="4"/>
      <c r="AF4" s="4" t="s">
        <v>37</v>
      </c>
      <c r="AG4" s="27" t="s">
        <v>38</v>
      </c>
      <c r="AH4" s="27" t="s">
        <v>39</v>
      </c>
      <c r="AI4" s="4"/>
      <c r="AJ4" s="4"/>
      <c r="AK4" s="4"/>
      <c r="AL4" s="4" t="s">
        <v>37</v>
      </c>
      <c r="AM4" s="27" t="s">
        <v>38</v>
      </c>
      <c r="AN4" s="27" t="s">
        <v>39</v>
      </c>
      <c r="AO4" s="4"/>
      <c r="AP4" s="4"/>
      <c r="AQ4" s="4"/>
      <c r="AR4" s="4" t="s">
        <v>37</v>
      </c>
      <c r="AS4" s="27" t="s">
        <v>38</v>
      </c>
      <c r="AT4" s="27" t="s">
        <v>39</v>
      </c>
      <c r="AU4" s="4"/>
      <c r="AV4" s="4"/>
      <c r="AW4" s="4"/>
      <c r="AX4" s="4" t="s">
        <v>37</v>
      </c>
      <c r="AY4" s="27" t="s">
        <v>38</v>
      </c>
      <c r="AZ4" s="27" t="s">
        <v>39</v>
      </c>
    </row>
    <row r="5" ht="14.25" customHeight="1">
      <c r="A5" s="35" t="s">
        <v>154</v>
      </c>
      <c r="B5" s="49" t="s">
        <v>171</v>
      </c>
      <c r="C5" s="35" t="s">
        <v>172</v>
      </c>
      <c r="D5" s="54">
        <v>7.0</v>
      </c>
      <c r="E5" s="54">
        <v>6.0</v>
      </c>
      <c r="F5" s="54">
        <v>1.0</v>
      </c>
      <c r="G5" s="64">
        <v>7.0</v>
      </c>
      <c r="H5" s="70">
        <v>0.0</v>
      </c>
      <c r="I5" s="121" t="str">
        <f t="shared" ref="I5:I7" si="1">(E5/G5)</f>
        <v>86%</v>
      </c>
      <c r="J5" s="32" t="str">
        <f t="shared" ref="J5:J7" si="2">(F5/G5)</f>
        <v>14%</v>
      </c>
      <c r="K5" s="54">
        <v>7.0</v>
      </c>
      <c r="L5" s="54">
        <v>0.0</v>
      </c>
      <c r="M5" s="64">
        <v>7.0</v>
      </c>
      <c r="N5" s="54">
        <v>0.0</v>
      </c>
      <c r="O5" s="121" t="str">
        <f t="shared" ref="O5:O7" si="3">(K5/M5)</f>
        <v>100%</v>
      </c>
      <c r="P5" s="32" t="str">
        <f t="shared" ref="P5:P7" si="4">(L5/M5)</f>
        <v>0%</v>
      </c>
      <c r="Q5" s="54">
        <v>1.0</v>
      </c>
      <c r="R5" s="54">
        <v>6.0</v>
      </c>
      <c r="S5" s="54">
        <v>7.0</v>
      </c>
      <c r="T5" s="54">
        <v>0.0</v>
      </c>
      <c r="U5" s="120" t="str">
        <f t="shared" ref="U5:U7" si="5">(Q5/S5)</f>
        <v>14%</v>
      </c>
      <c r="V5" s="42" t="str">
        <f t="shared" ref="V5:V7" si="6">(R5/S5)</f>
        <v>86%</v>
      </c>
      <c r="W5" s="54">
        <v>6.0</v>
      </c>
      <c r="X5" s="54">
        <v>1.0</v>
      </c>
      <c r="Y5" s="64">
        <v>7.0</v>
      </c>
      <c r="Z5" s="54">
        <v>0.0</v>
      </c>
      <c r="AA5" s="121" t="str">
        <f>(W5/Y5)</f>
        <v>86%</v>
      </c>
      <c r="AB5" s="32" t="str">
        <f t="shared" ref="AB5:AB7" si="7">(X5/Y5)</f>
        <v>14%</v>
      </c>
      <c r="AC5" s="54">
        <v>5.0</v>
      </c>
      <c r="AD5" s="54">
        <v>2.0</v>
      </c>
      <c r="AE5" s="64">
        <v>7.0</v>
      </c>
      <c r="AF5" s="54">
        <v>0.0</v>
      </c>
      <c r="AG5" s="120" t="str">
        <f t="shared" ref="AG5:AG7" si="8">(AC5/AE5)</f>
        <v>71%</v>
      </c>
      <c r="AH5" s="32" t="str">
        <f t="shared" ref="AH5:AH7" si="9">(AD5/AE5)</f>
        <v>29%</v>
      </c>
      <c r="AI5" s="54">
        <v>4.0</v>
      </c>
      <c r="AJ5" s="54">
        <v>3.0</v>
      </c>
      <c r="AK5" s="64">
        <v>7.0</v>
      </c>
      <c r="AL5" s="54">
        <v>0.0</v>
      </c>
      <c r="AM5" s="121" t="str">
        <f t="shared" ref="AM5:AM7" si="10">(AI5/AK5)</f>
        <v>57%</v>
      </c>
      <c r="AN5" s="32" t="str">
        <f t="shared" ref="AN5:AN7" si="11">(AJ5/AK5)</f>
        <v>43%</v>
      </c>
      <c r="AO5" s="54">
        <v>6.0</v>
      </c>
      <c r="AP5" s="54">
        <v>1.0</v>
      </c>
      <c r="AQ5" s="54">
        <v>7.0</v>
      </c>
      <c r="AR5" s="54">
        <v>0.0</v>
      </c>
      <c r="AS5" s="120" t="str">
        <f t="shared" ref="AS5:AS7" si="12">(AO5/AQ5)</f>
        <v>86%</v>
      </c>
      <c r="AT5" s="32" t="str">
        <f t="shared" ref="AT5:AT7" si="13">(AP5/AQ5)</f>
        <v>14%</v>
      </c>
      <c r="AU5" s="54">
        <v>5.0</v>
      </c>
      <c r="AV5" s="54">
        <v>2.0</v>
      </c>
      <c r="AW5" s="64">
        <v>7.0</v>
      </c>
      <c r="AX5" s="54">
        <v>0.0</v>
      </c>
      <c r="AY5" s="121" t="str">
        <f t="shared" ref="AY5:AY7" si="14">(AU5/AW5)</f>
        <v>71%</v>
      </c>
      <c r="AZ5" s="32" t="str">
        <f t="shared" ref="AZ5:AZ7" si="15">(AV5/AW5)</f>
        <v>29%</v>
      </c>
    </row>
    <row r="6" ht="14.25" customHeight="1">
      <c r="A6" s="71"/>
      <c r="B6" s="49" t="s">
        <v>173</v>
      </c>
      <c r="C6" s="71"/>
      <c r="D6" s="54">
        <v>10.0</v>
      </c>
      <c r="E6" s="54">
        <v>4.0</v>
      </c>
      <c r="F6" s="54">
        <v>6.0</v>
      </c>
      <c r="G6" s="64">
        <v>10.0</v>
      </c>
      <c r="H6" s="70">
        <v>0.0</v>
      </c>
      <c r="I6" s="121" t="str">
        <f t="shared" si="1"/>
        <v>40%</v>
      </c>
      <c r="J6" s="32" t="str">
        <f t="shared" si="2"/>
        <v>60%</v>
      </c>
      <c r="K6" s="54">
        <v>10.0</v>
      </c>
      <c r="L6" s="54">
        <v>0.0</v>
      </c>
      <c r="M6" s="64">
        <v>10.0</v>
      </c>
      <c r="N6" s="54">
        <v>0.0</v>
      </c>
      <c r="O6" s="121" t="str">
        <f t="shared" si="3"/>
        <v>100%</v>
      </c>
      <c r="P6" s="32" t="str">
        <f t="shared" si="4"/>
        <v>0%</v>
      </c>
      <c r="Q6" s="54">
        <v>4.0</v>
      </c>
      <c r="R6" s="54">
        <v>6.0</v>
      </c>
      <c r="S6" s="54">
        <v>10.0</v>
      </c>
      <c r="T6" s="54">
        <v>0.0</v>
      </c>
      <c r="U6" s="120" t="str">
        <f t="shared" si="5"/>
        <v>40%</v>
      </c>
      <c r="V6" s="42" t="str">
        <f t="shared" si="6"/>
        <v>60%</v>
      </c>
      <c r="W6" s="54">
        <v>10.0</v>
      </c>
      <c r="X6" s="54">
        <v>0.0</v>
      </c>
      <c r="Y6" s="64">
        <v>10.0</v>
      </c>
      <c r="Z6" s="54">
        <v>0.0</v>
      </c>
      <c r="AA6" s="121">
        <v>1.0</v>
      </c>
      <c r="AB6" s="32" t="str">
        <f t="shared" si="7"/>
        <v>0%</v>
      </c>
      <c r="AC6" s="54">
        <v>8.0</v>
      </c>
      <c r="AD6" s="54">
        <v>2.0</v>
      </c>
      <c r="AE6" s="64">
        <v>10.0</v>
      </c>
      <c r="AF6" s="54">
        <v>0.0</v>
      </c>
      <c r="AG6" s="120" t="str">
        <f t="shared" si="8"/>
        <v>80%</v>
      </c>
      <c r="AH6" s="32" t="str">
        <f t="shared" si="9"/>
        <v>20%</v>
      </c>
      <c r="AI6" s="54">
        <v>3.0</v>
      </c>
      <c r="AJ6" s="54">
        <v>7.0</v>
      </c>
      <c r="AK6" s="64">
        <v>10.0</v>
      </c>
      <c r="AL6" s="54">
        <v>0.0</v>
      </c>
      <c r="AM6" s="121" t="str">
        <f t="shared" si="10"/>
        <v>30%</v>
      </c>
      <c r="AN6" s="32" t="str">
        <f t="shared" si="11"/>
        <v>70%</v>
      </c>
      <c r="AO6" s="54">
        <v>10.0</v>
      </c>
      <c r="AP6" s="54">
        <v>0.0</v>
      </c>
      <c r="AQ6" s="54">
        <v>10.0</v>
      </c>
      <c r="AR6" s="54">
        <v>0.0</v>
      </c>
      <c r="AS6" s="120" t="str">
        <f t="shared" si="12"/>
        <v>100%</v>
      </c>
      <c r="AT6" s="32" t="str">
        <f t="shared" si="13"/>
        <v>0%</v>
      </c>
      <c r="AU6" s="54">
        <v>8.0</v>
      </c>
      <c r="AV6" s="54">
        <v>2.0</v>
      </c>
      <c r="AW6" s="64">
        <v>10.0</v>
      </c>
      <c r="AX6" s="54">
        <v>0.0</v>
      </c>
      <c r="AY6" s="121" t="str">
        <f t="shared" si="14"/>
        <v>80%</v>
      </c>
      <c r="AZ6" s="32" t="str">
        <f t="shared" si="15"/>
        <v>20%</v>
      </c>
    </row>
    <row r="7" ht="14.25" customHeight="1">
      <c r="A7" s="54" t="s">
        <v>174</v>
      </c>
      <c r="B7" s="49" t="s">
        <v>175</v>
      </c>
      <c r="C7" s="54" t="s">
        <v>176</v>
      </c>
      <c r="D7" s="54">
        <v>20.0</v>
      </c>
      <c r="E7" s="54">
        <v>19.0</v>
      </c>
      <c r="F7" s="54">
        <v>0.0</v>
      </c>
      <c r="G7" s="64">
        <v>19.0</v>
      </c>
      <c r="H7" s="70">
        <v>1.0</v>
      </c>
      <c r="I7" s="121" t="str">
        <f t="shared" si="1"/>
        <v>100%</v>
      </c>
      <c r="J7" s="32" t="str">
        <f t="shared" si="2"/>
        <v>0%</v>
      </c>
      <c r="K7" s="54">
        <v>18.0</v>
      </c>
      <c r="L7" s="54">
        <v>1.0</v>
      </c>
      <c r="M7" s="64">
        <v>19.0</v>
      </c>
      <c r="N7" s="54">
        <v>1.0</v>
      </c>
      <c r="O7" s="121" t="str">
        <f t="shared" si="3"/>
        <v>95%</v>
      </c>
      <c r="P7" s="32" t="str">
        <f t="shared" si="4"/>
        <v>5%</v>
      </c>
      <c r="Q7" s="54">
        <v>18.0</v>
      </c>
      <c r="R7" s="54">
        <v>1.0</v>
      </c>
      <c r="S7" s="54">
        <v>19.0</v>
      </c>
      <c r="T7" s="54">
        <v>1.0</v>
      </c>
      <c r="U7" s="120" t="str">
        <f t="shared" si="5"/>
        <v>95%</v>
      </c>
      <c r="V7" s="42" t="str">
        <f t="shared" si="6"/>
        <v>5%</v>
      </c>
      <c r="W7" s="54">
        <v>19.0</v>
      </c>
      <c r="X7" s="54">
        <v>0.0</v>
      </c>
      <c r="Y7" s="64">
        <v>19.0</v>
      </c>
      <c r="Z7" s="54">
        <v>1.0</v>
      </c>
      <c r="AA7" s="121" t="str">
        <f>(W7/Y7)</f>
        <v>100%</v>
      </c>
      <c r="AB7" s="32" t="str">
        <f t="shared" si="7"/>
        <v>0%</v>
      </c>
      <c r="AC7" s="54">
        <v>19.0</v>
      </c>
      <c r="AD7" s="54">
        <v>0.0</v>
      </c>
      <c r="AE7" s="64">
        <v>19.0</v>
      </c>
      <c r="AF7" s="54">
        <v>1.0</v>
      </c>
      <c r="AG7" s="120" t="str">
        <f t="shared" si="8"/>
        <v>100%</v>
      </c>
      <c r="AH7" s="32" t="str">
        <f t="shared" si="9"/>
        <v>0%</v>
      </c>
      <c r="AI7" s="54">
        <v>18.0</v>
      </c>
      <c r="AJ7" s="54">
        <v>0.0</v>
      </c>
      <c r="AK7" s="64">
        <v>18.0</v>
      </c>
      <c r="AL7" s="54">
        <v>1.0</v>
      </c>
      <c r="AM7" s="121" t="str">
        <f t="shared" si="10"/>
        <v>100%</v>
      </c>
      <c r="AN7" s="32" t="str">
        <f t="shared" si="11"/>
        <v>0%</v>
      </c>
      <c r="AO7" s="54">
        <v>18.0</v>
      </c>
      <c r="AP7" s="54">
        <v>0.0</v>
      </c>
      <c r="AQ7" s="54">
        <v>18.0</v>
      </c>
      <c r="AR7" s="54">
        <v>1.0</v>
      </c>
      <c r="AS7" s="120" t="str">
        <f t="shared" si="12"/>
        <v>100%</v>
      </c>
      <c r="AT7" s="32" t="str">
        <f t="shared" si="13"/>
        <v>0%</v>
      </c>
      <c r="AU7" s="54">
        <v>18.0</v>
      </c>
      <c r="AV7" s="54">
        <v>1.0</v>
      </c>
      <c r="AW7" s="64">
        <v>19.0</v>
      </c>
      <c r="AX7" s="54">
        <v>1.0</v>
      </c>
      <c r="AY7" s="121" t="str">
        <f t="shared" si="14"/>
        <v>95%</v>
      </c>
      <c r="AZ7" s="32" t="str">
        <f t="shared" si="15"/>
        <v>5%</v>
      </c>
    </row>
    <row r="8" ht="12.0" customHeight="1">
      <c r="A8" s="125" t="s">
        <v>112</v>
      </c>
      <c r="B8" s="3"/>
      <c r="C8" s="178" t="s">
        <v>113</v>
      </c>
      <c r="D8" s="178" t="s">
        <v>64</v>
      </c>
      <c r="E8" s="49"/>
      <c r="F8" s="127"/>
      <c r="N8" s="127"/>
      <c r="S8" s="89"/>
    </row>
    <row r="9" ht="12.75" customHeight="1">
      <c r="A9" s="118" t="s">
        <v>160</v>
      </c>
      <c r="B9" s="3"/>
      <c r="C9" s="49" t="s">
        <v>66</v>
      </c>
      <c r="D9" s="193" t="s">
        <v>67</v>
      </c>
      <c r="E9" s="49"/>
      <c r="F9" s="84"/>
      <c r="G9" s="85"/>
      <c r="I9" s="85"/>
      <c r="J9" s="85"/>
      <c r="K9" s="85"/>
      <c r="N9" s="179"/>
      <c r="O9" s="179"/>
      <c r="S9" s="145"/>
      <c r="T9" s="145"/>
      <c r="U9" s="145"/>
      <c r="V9" s="145"/>
      <c r="W9" s="146"/>
    </row>
    <row r="10" ht="14.25" customHeight="1">
      <c r="A10" s="118" t="s">
        <v>68</v>
      </c>
      <c r="B10" s="3"/>
      <c r="C10" s="49" t="s">
        <v>69</v>
      </c>
      <c r="D10" s="194" t="s">
        <v>70</v>
      </c>
      <c r="E10" s="49"/>
      <c r="F10" s="89"/>
      <c r="G10" s="90"/>
      <c r="I10" s="91"/>
      <c r="J10" s="91"/>
      <c r="K10" s="91"/>
      <c r="N10" s="85"/>
      <c r="T10" s="85"/>
      <c r="U10" s="85"/>
      <c r="V10" s="85"/>
      <c r="W10" s="85"/>
    </row>
    <row r="11" ht="13.5" customHeight="1">
      <c r="A11" s="118" t="s">
        <v>117</v>
      </c>
      <c r="B11" s="3"/>
      <c r="C11" s="49" t="s">
        <v>72</v>
      </c>
      <c r="D11" s="195" t="s">
        <v>73</v>
      </c>
      <c r="E11" s="49"/>
      <c r="F11" s="79"/>
      <c r="G11" s="79"/>
      <c r="I11" s="91"/>
      <c r="J11" s="91"/>
      <c r="K11" s="91"/>
      <c r="N11" s="85"/>
      <c r="Q11" s="91"/>
      <c r="T11" s="146"/>
      <c r="U11" s="79"/>
      <c r="V11" s="93"/>
      <c r="W11" s="79"/>
    </row>
    <row r="12" ht="14.25" customHeight="1">
      <c r="B12" s="91"/>
      <c r="D12" s="91"/>
      <c r="E12" s="91"/>
      <c r="F12" s="91"/>
      <c r="G12" s="79"/>
      <c r="I12" s="91"/>
      <c r="J12" s="91"/>
      <c r="K12" s="91"/>
      <c r="N12" s="85"/>
      <c r="Q12" s="91"/>
      <c r="T12" s="146"/>
      <c r="U12" s="79"/>
      <c r="V12" s="146"/>
      <c r="W12" s="79"/>
    </row>
    <row r="13" ht="15.0" customHeight="1">
      <c r="A13" s="126" t="s">
        <v>33</v>
      </c>
      <c r="B13" s="126" t="s">
        <v>74</v>
      </c>
      <c r="C13" s="126" t="s">
        <v>75</v>
      </c>
      <c r="D13" s="126" t="s">
        <v>35</v>
      </c>
      <c r="E13" s="125" t="s">
        <v>76</v>
      </c>
      <c r="F13" s="2"/>
      <c r="G13" s="2"/>
      <c r="H13" s="2"/>
      <c r="I13" s="2"/>
      <c r="J13" s="2"/>
      <c r="K13" s="2"/>
      <c r="L13" s="3"/>
      <c r="M13" s="180" t="s">
        <v>177</v>
      </c>
      <c r="N13" s="2"/>
      <c r="O13" s="2"/>
      <c r="P13" s="2"/>
      <c r="Q13" s="2"/>
      <c r="R13" s="2"/>
      <c r="S13" s="2"/>
      <c r="T13" s="3"/>
      <c r="V13" s="148"/>
    </row>
    <row r="14" ht="75.75" customHeight="1">
      <c r="A14" s="34" t="s">
        <v>83</v>
      </c>
      <c r="B14" s="49" t="s">
        <v>178</v>
      </c>
      <c r="C14" s="49" t="s">
        <v>179</v>
      </c>
      <c r="D14" s="49" t="s">
        <v>172</v>
      </c>
      <c r="E14" s="196" t="s">
        <v>180</v>
      </c>
      <c r="F14" s="2"/>
      <c r="G14" s="2"/>
      <c r="H14" s="2"/>
      <c r="I14" s="2"/>
      <c r="J14" s="2"/>
      <c r="K14" s="2"/>
      <c r="L14" s="3"/>
      <c r="M14" s="197" t="s">
        <v>181</v>
      </c>
      <c r="N14" s="2"/>
      <c r="O14" s="2"/>
      <c r="P14" s="2"/>
      <c r="Q14" s="2"/>
      <c r="R14" s="2"/>
      <c r="S14" s="2"/>
      <c r="T14" s="3"/>
    </row>
    <row r="15" ht="41.25" customHeight="1">
      <c r="B15" s="91"/>
      <c r="D15" s="91"/>
      <c r="E15" s="91"/>
      <c r="F15" s="89"/>
      <c r="G15" s="93"/>
      <c r="I15" s="91"/>
      <c r="J15" s="91"/>
      <c r="K15" s="91"/>
      <c r="N15" s="84"/>
      <c r="Q15" s="91"/>
    </row>
    <row r="16" ht="14.25" customHeight="1">
      <c r="B16" s="91"/>
      <c r="D16" s="91"/>
      <c r="E16" s="91"/>
      <c r="F16" s="91"/>
      <c r="G16" s="91"/>
      <c r="J16" s="91"/>
      <c r="N16" s="84"/>
      <c r="Q16" s="91"/>
    </row>
    <row r="17" ht="14.25" customHeight="1">
      <c r="B17" s="91"/>
      <c r="D17" s="91"/>
      <c r="E17" s="91"/>
      <c r="F17" s="79"/>
      <c r="G17" s="79"/>
      <c r="J17" s="91"/>
      <c r="N17" s="84"/>
      <c r="Q17" s="91"/>
    </row>
    <row r="18" ht="14.25" customHeight="1">
      <c r="B18" s="91"/>
      <c r="D18" s="91"/>
      <c r="E18" s="91"/>
      <c r="F18" s="127"/>
      <c r="G18" s="91"/>
      <c r="I18" s="91"/>
      <c r="J18" s="91"/>
      <c r="K18" s="91"/>
      <c r="N18" s="84"/>
      <c r="Q18" s="91"/>
    </row>
    <row r="19" ht="14.25" customHeight="1">
      <c r="B19" s="91"/>
      <c r="D19" s="91"/>
      <c r="E19" s="91"/>
      <c r="F19" s="91"/>
      <c r="G19" s="91"/>
      <c r="I19" s="91"/>
      <c r="J19" s="91"/>
      <c r="K19" s="91"/>
    </row>
    <row r="20" ht="14.25" customHeight="1">
      <c r="B20" s="91"/>
      <c r="D20" s="91"/>
      <c r="E20" s="91"/>
      <c r="F20" s="91"/>
      <c r="G20" s="91"/>
      <c r="I20" s="91"/>
      <c r="J20" s="91"/>
      <c r="K20" s="91"/>
    </row>
    <row r="21" ht="14.25" customHeight="1">
      <c r="B21" s="91"/>
      <c r="D21" s="91"/>
      <c r="E21" s="91"/>
      <c r="F21" s="145"/>
      <c r="G21" s="91"/>
      <c r="J21" s="91"/>
    </row>
    <row r="22" ht="14.25" customHeight="1">
      <c r="B22" s="91"/>
      <c r="D22" s="91"/>
      <c r="E22" s="91"/>
      <c r="F22" s="145"/>
      <c r="G22" s="91"/>
      <c r="J22" s="91"/>
    </row>
    <row r="23" ht="14.25" customHeight="1">
      <c r="B23" s="91"/>
      <c r="D23" s="91"/>
      <c r="E23" s="91"/>
      <c r="F23" s="145"/>
      <c r="G23" s="91"/>
      <c r="J23" s="91"/>
    </row>
    <row r="24" ht="30.0" customHeight="1">
      <c r="F24" s="191"/>
      <c r="G24" s="90"/>
    </row>
    <row r="25" ht="14.25" customHeight="1">
      <c r="G25" s="91"/>
    </row>
    <row r="26" ht="14.25" customHeight="1">
      <c r="G26" s="91"/>
    </row>
    <row r="27" ht="14.25" customHeight="1">
      <c r="B27" s="91"/>
      <c r="D27" s="91"/>
      <c r="E27" s="91"/>
      <c r="F27" s="91"/>
      <c r="G27" s="91"/>
    </row>
    <row r="28" ht="14.25" customHeight="1">
      <c r="B28" s="91"/>
      <c r="D28" s="91"/>
      <c r="E28" s="91"/>
      <c r="F28" s="91"/>
      <c r="G28" s="91"/>
    </row>
    <row r="29" ht="14.25" customHeight="1">
      <c r="B29" s="91"/>
      <c r="D29" s="91"/>
      <c r="E29" s="91"/>
      <c r="F29" s="91"/>
      <c r="G29" s="91"/>
    </row>
    <row r="30" ht="14.25" customHeight="1">
      <c r="B30" s="91"/>
      <c r="D30" s="91"/>
      <c r="E30" s="91"/>
      <c r="F30" s="91"/>
      <c r="G30" s="91"/>
    </row>
    <row r="31" ht="14.25" customHeight="1">
      <c r="B31" s="91"/>
      <c r="D31" s="91"/>
      <c r="E31" s="91"/>
      <c r="F31" s="91"/>
      <c r="G31" s="91"/>
    </row>
    <row r="32" ht="14.25" customHeight="1">
      <c r="B32" s="91"/>
      <c r="D32" s="91"/>
      <c r="E32" s="91"/>
      <c r="F32" s="91"/>
      <c r="G32" s="91"/>
    </row>
    <row r="33" ht="14.25" customHeight="1">
      <c r="B33" s="91"/>
      <c r="D33" s="91"/>
      <c r="E33" s="91"/>
      <c r="F33" s="91"/>
      <c r="G33" s="91"/>
    </row>
    <row r="34" ht="14.25" customHeight="1">
      <c r="B34" s="91"/>
      <c r="D34" s="91"/>
      <c r="E34" s="91"/>
      <c r="F34" s="91"/>
      <c r="G34" s="91"/>
    </row>
    <row r="35" ht="14.25" customHeight="1">
      <c r="B35" s="91"/>
      <c r="D35" s="91"/>
      <c r="E35" s="91"/>
      <c r="F35" s="91"/>
      <c r="G35" s="91"/>
    </row>
    <row r="36" ht="14.25" customHeight="1">
      <c r="B36" s="91"/>
      <c r="D36" s="91"/>
      <c r="E36" s="91"/>
      <c r="F36" s="91"/>
      <c r="G36" s="91"/>
    </row>
    <row r="37" ht="14.25" customHeight="1">
      <c r="B37" s="91"/>
      <c r="D37" s="91"/>
      <c r="E37" s="91"/>
      <c r="F37" s="91"/>
      <c r="G37" s="91"/>
    </row>
    <row r="38" ht="14.25" customHeight="1">
      <c r="B38" s="91"/>
      <c r="D38" s="91"/>
      <c r="E38" s="91"/>
      <c r="F38" s="91"/>
      <c r="G38" s="91"/>
    </row>
    <row r="39" ht="14.25" customHeight="1">
      <c r="B39" s="91"/>
      <c r="D39" s="91"/>
      <c r="E39" s="91"/>
      <c r="F39" s="91"/>
      <c r="G39" s="91"/>
    </row>
    <row r="40" ht="14.25" customHeight="1">
      <c r="B40" s="91"/>
      <c r="D40" s="91"/>
      <c r="E40" s="91"/>
      <c r="F40" s="91"/>
      <c r="G40" s="91"/>
    </row>
    <row r="41" ht="14.25" customHeight="1">
      <c r="B41" s="91"/>
      <c r="D41" s="91"/>
      <c r="E41" s="91"/>
      <c r="F41" s="91"/>
      <c r="G41" s="91"/>
    </row>
    <row r="42" ht="14.25" customHeight="1">
      <c r="B42" s="91"/>
      <c r="D42" s="91"/>
      <c r="E42" s="91"/>
      <c r="F42" s="91"/>
      <c r="G42" s="91"/>
    </row>
    <row r="43" ht="14.25" customHeight="1">
      <c r="B43" s="91"/>
      <c r="D43" s="91"/>
      <c r="E43" s="91"/>
      <c r="F43" s="91"/>
      <c r="G43" s="91"/>
    </row>
    <row r="44" ht="14.25" customHeight="1">
      <c r="B44" s="91"/>
      <c r="D44" s="91"/>
      <c r="E44" s="91"/>
      <c r="F44" s="91"/>
      <c r="G44" s="91"/>
    </row>
    <row r="45" ht="14.25" customHeight="1">
      <c r="B45" s="91"/>
      <c r="D45" s="91"/>
      <c r="E45" s="91"/>
      <c r="F45" s="91"/>
      <c r="G45" s="91"/>
    </row>
    <row r="46" ht="14.25" customHeight="1">
      <c r="B46" s="91"/>
      <c r="D46" s="91"/>
      <c r="E46" s="91"/>
      <c r="F46" s="91"/>
      <c r="G46" s="91"/>
    </row>
    <row r="47" ht="14.25" customHeight="1">
      <c r="B47" s="91"/>
      <c r="D47" s="91"/>
      <c r="E47" s="91"/>
      <c r="F47" s="91"/>
      <c r="G47" s="91"/>
    </row>
    <row r="48" ht="14.25" customHeight="1">
      <c r="B48" s="91"/>
      <c r="D48" s="91"/>
      <c r="E48" s="91"/>
      <c r="F48" s="91"/>
      <c r="G48" s="91"/>
    </row>
    <row r="49" ht="14.25" customHeight="1">
      <c r="B49" s="91"/>
      <c r="D49" s="91"/>
      <c r="E49" s="91"/>
      <c r="F49" s="91"/>
      <c r="G49" s="91"/>
    </row>
    <row r="50" ht="14.25" customHeight="1">
      <c r="B50" s="91"/>
      <c r="D50" s="91"/>
      <c r="E50" s="91"/>
      <c r="F50" s="91"/>
      <c r="G50" s="91"/>
    </row>
    <row r="51" ht="14.25" customHeight="1">
      <c r="B51" s="91"/>
      <c r="D51" s="91"/>
      <c r="E51" s="91"/>
      <c r="F51" s="91"/>
      <c r="G51" s="91"/>
    </row>
    <row r="52" ht="14.25" customHeight="1">
      <c r="B52" s="91"/>
      <c r="D52" s="91"/>
      <c r="E52" s="91"/>
      <c r="F52" s="91"/>
      <c r="G52" s="91"/>
    </row>
    <row r="53" ht="14.25" customHeight="1">
      <c r="B53" s="91"/>
      <c r="D53" s="91"/>
      <c r="E53" s="91"/>
      <c r="F53" s="91"/>
      <c r="G53" s="91"/>
    </row>
    <row r="54" ht="14.25" customHeight="1">
      <c r="B54" s="91"/>
      <c r="D54" s="91"/>
      <c r="E54" s="91"/>
      <c r="F54" s="91"/>
      <c r="G54" s="91"/>
    </row>
    <row r="55" ht="14.25" customHeight="1">
      <c r="B55" s="91"/>
      <c r="D55" s="91"/>
      <c r="E55" s="91"/>
      <c r="F55" s="91"/>
      <c r="G55" s="91"/>
    </row>
    <row r="56" ht="14.25" customHeight="1">
      <c r="B56" s="91"/>
      <c r="D56" s="91"/>
      <c r="E56" s="91"/>
      <c r="F56" s="91"/>
      <c r="G56" s="91"/>
    </row>
    <row r="57" ht="14.25" customHeight="1">
      <c r="B57" s="91"/>
      <c r="D57" s="91"/>
      <c r="E57" s="91"/>
      <c r="F57" s="91"/>
      <c r="G57" s="91"/>
    </row>
    <row r="58" ht="14.25" customHeight="1">
      <c r="B58" s="91"/>
      <c r="D58" s="91"/>
      <c r="E58" s="91"/>
      <c r="F58" s="91"/>
      <c r="G58" s="91"/>
    </row>
    <row r="59" ht="14.25" customHeight="1">
      <c r="B59" s="91"/>
      <c r="D59" s="91"/>
      <c r="E59" s="91"/>
      <c r="F59" s="91"/>
      <c r="G59" s="91"/>
    </row>
    <row r="60" ht="14.25" customHeight="1">
      <c r="B60" s="91"/>
      <c r="D60" s="91"/>
      <c r="E60" s="91"/>
      <c r="F60" s="91"/>
      <c r="G60" s="91"/>
    </row>
    <row r="61" ht="14.25" customHeight="1">
      <c r="B61" s="91"/>
      <c r="D61" s="91"/>
      <c r="E61" s="91"/>
      <c r="F61" s="91"/>
      <c r="G61" s="91"/>
    </row>
    <row r="62" ht="14.25" customHeight="1">
      <c r="B62" s="91"/>
      <c r="D62" s="91"/>
      <c r="E62" s="91"/>
      <c r="F62" s="91"/>
      <c r="G62" s="91"/>
    </row>
    <row r="63" ht="14.25" customHeight="1">
      <c r="B63" s="91"/>
      <c r="D63" s="91"/>
      <c r="E63" s="91"/>
      <c r="F63" s="91"/>
      <c r="G63" s="91"/>
    </row>
    <row r="64" ht="14.25" customHeight="1">
      <c r="B64" s="91"/>
      <c r="D64" s="91"/>
      <c r="E64" s="91"/>
      <c r="F64" s="91"/>
      <c r="G64" s="91"/>
    </row>
    <row r="65" ht="14.25" customHeight="1">
      <c r="B65" s="91"/>
      <c r="D65" s="91"/>
      <c r="E65" s="91"/>
      <c r="F65" s="91"/>
      <c r="G65" s="91"/>
    </row>
    <row r="66" ht="14.25" customHeight="1">
      <c r="B66" s="91"/>
      <c r="D66" s="91"/>
      <c r="E66" s="91"/>
      <c r="F66" s="91"/>
      <c r="G66" s="91"/>
    </row>
    <row r="67" ht="14.25" customHeight="1">
      <c r="B67" s="91"/>
      <c r="D67" s="91"/>
      <c r="E67" s="91"/>
      <c r="F67" s="91"/>
      <c r="G67" s="91"/>
    </row>
    <row r="68" ht="14.25" customHeight="1">
      <c r="B68" s="91"/>
      <c r="D68" s="91"/>
      <c r="E68" s="91"/>
      <c r="F68" s="91"/>
      <c r="G68" s="91"/>
    </row>
    <row r="69" ht="14.25" customHeight="1">
      <c r="B69" s="91"/>
      <c r="D69" s="91"/>
      <c r="E69" s="91"/>
      <c r="F69" s="91"/>
      <c r="G69" s="91"/>
    </row>
    <row r="70" ht="14.25" customHeight="1">
      <c r="B70" s="91"/>
      <c r="D70" s="91"/>
      <c r="E70" s="91"/>
      <c r="F70" s="91"/>
      <c r="G70" s="91"/>
    </row>
    <row r="71" ht="14.25" customHeight="1">
      <c r="B71" s="91"/>
      <c r="D71" s="91"/>
      <c r="E71" s="91"/>
      <c r="F71" s="91"/>
      <c r="G71" s="91"/>
    </row>
    <row r="72" ht="14.25" customHeight="1">
      <c r="B72" s="91"/>
      <c r="D72" s="91"/>
      <c r="E72" s="91"/>
      <c r="F72" s="91"/>
      <c r="G72" s="91"/>
    </row>
    <row r="73" ht="14.25" customHeight="1">
      <c r="B73" s="91"/>
      <c r="D73" s="91"/>
      <c r="E73" s="91"/>
      <c r="F73" s="91"/>
      <c r="G73" s="91"/>
    </row>
    <row r="74" ht="14.25" customHeight="1">
      <c r="B74" s="91"/>
      <c r="D74" s="91"/>
      <c r="E74" s="91"/>
      <c r="F74" s="91"/>
      <c r="G74" s="91"/>
    </row>
    <row r="75" ht="14.25" customHeight="1">
      <c r="B75" s="91"/>
      <c r="D75" s="91"/>
      <c r="E75" s="91"/>
      <c r="F75" s="91"/>
      <c r="G75" s="91"/>
    </row>
    <row r="76" ht="14.25" customHeight="1">
      <c r="B76" s="91"/>
      <c r="D76" s="91"/>
      <c r="E76" s="91"/>
      <c r="F76" s="91"/>
      <c r="G76" s="91"/>
    </row>
    <row r="77" ht="14.25" customHeight="1">
      <c r="B77" s="91"/>
      <c r="D77" s="91"/>
      <c r="E77" s="91"/>
      <c r="F77" s="91"/>
      <c r="G77" s="91"/>
    </row>
    <row r="78" ht="14.25" customHeight="1">
      <c r="B78" s="91"/>
      <c r="D78" s="91"/>
      <c r="E78" s="91"/>
      <c r="F78" s="91"/>
      <c r="G78" s="91"/>
    </row>
    <row r="79" ht="14.25" customHeight="1">
      <c r="B79" s="91"/>
      <c r="D79" s="91"/>
      <c r="E79" s="91"/>
      <c r="F79" s="91"/>
      <c r="G79" s="91"/>
    </row>
    <row r="80" ht="14.25" customHeight="1">
      <c r="B80" s="91"/>
      <c r="D80" s="91"/>
      <c r="E80" s="91"/>
      <c r="F80" s="91"/>
      <c r="G80" s="91"/>
    </row>
    <row r="81" ht="14.25" customHeight="1">
      <c r="B81" s="91"/>
      <c r="D81" s="91"/>
      <c r="E81" s="91"/>
      <c r="F81" s="91"/>
      <c r="G81" s="91"/>
    </row>
    <row r="82" ht="14.25" customHeight="1">
      <c r="B82" s="91"/>
      <c r="D82" s="91"/>
      <c r="E82" s="91"/>
      <c r="F82" s="91"/>
      <c r="G82" s="91"/>
    </row>
    <row r="83" ht="14.25" customHeight="1">
      <c r="B83" s="91"/>
      <c r="D83" s="91"/>
      <c r="E83" s="91"/>
      <c r="F83" s="91"/>
      <c r="G83" s="91"/>
    </row>
    <row r="84" ht="14.25" customHeight="1">
      <c r="B84" s="91"/>
      <c r="D84" s="91"/>
      <c r="E84" s="91"/>
      <c r="F84" s="91"/>
      <c r="G84" s="91"/>
    </row>
    <row r="85" ht="14.25" customHeight="1">
      <c r="B85" s="91"/>
      <c r="D85" s="91"/>
      <c r="E85" s="91"/>
      <c r="F85" s="91"/>
      <c r="G85" s="91"/>
    </row>
    <row r="86" ht="14.25" customHeight="1">
      <c r="B86" s="91"/>
      <c r="D86" s="91"/>
      <c r="E86" s="91"/>
      <c r="F86" s="91"/>
      <c r="G86" s="91"/>
    </row>
    <row r="87" ht="14.25" customHeight="1">
      <c r="B87" s="91"/>
      <c r="D87" s="91"/>
      <c r="E87" s="91"/>
      <c r="F87" s="91"/>
      <c r="G87" s="91"/>
    </row>
    <row r="88" ht="14.25" customHeight="1">
      <c r="B88" s="91"/>
      <c r="D88" s="91"/>
      <c r="E88" s="91"/>
      <c r="F88" s="91"/>
      <c r="G88" s="91"/>
    </row>
    <row r="89" ht="14.25" customHeight="1">
      <c r="B89" s="91"/>
      <c r="D89" s="91"/>
      <c r="E89" s="91"/>
      <c r="F89" s="91"/>
      <c r="G89" s="91"/>
    </row>
    <row r="90" ht="14.25" customHeight="1">
      <c r="B90" s="91"/>
      <c r="D90" s="91"/>
      <c r="E90" s="91"/>
      <c r="F90" s="91"/>
      <c r="G90" s="91"/>
    </row>
    <row r="91" ht="14.25" customHeight="1">
      <c r="B91" s="91"/>
      <c r="D91" s="91"/>
      <c r="E91" s="91"/>
      <c r="F91" s="91"/>
      <c r="G91" s="91"/>
    </row>
    <row r="92" ht="14.25" customHeight="1">
      <c r="B92" s="91"/>
      <c r="D92" s="91"/>
      <c r="E92" s="91"/>
      <c r="F92" s="91"/>
      <c r="G92" s="91"/>
    </row>
    <row r="93" ht="14.25" customHeight="1">
      <c r="B93" s="91"/>
      <c r="D93" s="91"/>
      <c r="E93" s="91"/>
      <c r="F93" s="91"/>
      <c r="G93" s="91"/>
    </row>
    <row r="94" ht="14.25" customHeight="1">
      <c r="B94" s="91"/>
      <c r="D94" s="91"/>
      <c r="E94" s="91"/>
      <c r="F94" s="91"/>
      <c r="G94" s="91"/>
    </row>
    <row r="95" ht="14.25" customHeight="1">
      <c r="B95" s="91"/>
      <c r="D95" s="91"/>
      <c r="E95" s="91"/>
      <c r="F95" s="91"/>
      <c r="G95" s="91"/>
    </row>
    <row r="96" ht="14.25" customHeight="1">
      <c r="B96" s="91"/>
      <c r="D96" s="91"/>
      <c r="E96" s="91"/>
      <c r="F96" s="91"/>
      <c r="G96" s="91"/>
    </row>
    <row r="97" ht="14.25" customHeight="1">
      <c r="B97" s="91"/>
      <c r="D97" s="91"/>
      <c r="E97" s="91"/>
      <c r="F97" s="91"/>
      <c r="G97" s="91"/>
    </row>
    <row r="98" ht="14.25" customHeight="1">
      <c r="B98" s="91"/>
      <c r="D98" s="91"/>
      <c r="E98" s="91"/>
      <c r="F98" s="91"/>
      <c r="G98" s="91"/>
    </row>
    <row r="99" ht="14.25" customHeight="1">
      <c r="B99" s="91"/>
      <c r="D99" s="91"/>
      <c r="E99" s="91"/>
      <c r="F99" s="91"/>
      <c r="G99" s="91"/>
    </row>
    <row r="100" ht="14.25" customHeight="1">
      <c r="B100" s="91"/>
      <c r="D100" s="91"/>
      <c r="E100" s="91"/>
      <c r="F100" s="91"/>
      <c r="G100" s="91"/>
    </row>
  </sheetData>
  <mergeCells count="64">
    <mergeCell ref="A9:B9"/>
    <mergeCell ref="A10:B10"/>
    <mergeCell ref="G12:H12"/>
    <mergeCell ref="N12:P12"/>
    <mergeCell ref="G9:H9"/>
    <mergeCell ref="G10:H10"/>
    <mergeCell ref="A11:B11"/>
    <mergeCell ref="G11:H11"/>
    <mergeCell ref="N11:P11"/>
    <mergeCell ref="Q11:S11"/>
    <mergeCell ref="E14:L14"/>
    <mergeCell ref="M13:T13"/>
    <mergeCell ref="E13:L13"/>
    <mergeCell ref="F8:K8"/>
    <mergeCell ref="A8:B8"/>
    <mergeCell ref="Q12:S12"/>
    <mergeCell ref="N10:S10"/>
    <mergeCell ref="G16:H16"/>
    <mergeCell ref="G17:H17"/>
    <mergeCell ref="G22:H22"/>
    <mergeCell ref="G23:H23"/>
    <mergeCell ref="G3:H3"/>
    <mergeCell ref="I3:J3"/>
    <mergeCell ref="G24:H24"/>
    <mergeCell ref="G25:H25"/>
    <mergeCell ref="G26:H26"/>
    <mergeCell ref="G18:H18"/>
    <mergeCell ref="G19:H19"/>
    <mergeCell ref="G15:H15"/>
    <mergeCell ref="N8:P8"/>
    <mergeCell ref="S8:W8"/>
    <mergeCell ref="D2:J2"/>
    <mergeCell ref="K2:P2"/>
    <mergeCell ref="Q2:V2"/>
    <mergeCell ref="W2:AB2"/>
    <mergeCell ref="AI2:AN2"/>
    <mergeCell ref="AC2:AH2"/>
    <mergeCell ref="AO2:AT2"/>
    <mergeCell ref="AU2:AZ2"/>
    <mergeCell ref="O3:P3"/>
    <mergeCell ref="U3:V3"/>
    <mergeCell ref="AG3:AH3"/>
    <mergeCell ref="AM3:AN3"/>
    <mergeCell ref="AS3:AT3"/>
    <mergeCell ref="AY3:AZ3"/>
    <mergeCell ref="A5:A6"/>
    <mergeCell ref="C3:C4"/>
    <mergeCell ref="B3:B4"/>
    <mergeCell ref="A3:A4"/>
    <mergeCell ref="C5:C6"/>
    <mergeCell ref="A1:AB1"/>
    <mergeCell ref="A2:C2"/>
    <mergeCell ref="AA3:AB3"/>
    <mergeCell ref="G20:H20"/>
    <mergeCell ref="G21:H21"/>
    <mergeCell ref="N15:P15"/>
    <mergeCell ref="Q15:S15"/>
    <mergeCell ref="M14:T14"/>
    <mergeCell ref="N18:P18"/>
    <mergeCell ref="Q18:S18"/>
    <mergeCell ref="N16:P16"/>
    <mergeCell ref="Q16:S16"/>
    <mergeCell ref="N17:P17"/>
    <mergeCell ref="Q17:S17"/>
  </mergeCells>
  <conditionalFormatting sqref="I5:I7 O5:O7 U5:U7 AA5:AA7 AG5:AG7 AM5:AM7 AS5:AS7 AY5:AY7">
    <cfRule type="cellIs" dxfId="11" priority="1" operator="greaterThan">
      <formula>0.74</formula>
    </cfRule>
  </conditionalFormatting>
  <conditionalFormatting sqref="I5:I7 O5:O7 U5:U7 AA5:AA7 AG5:AG7 AM5:AM7 AS5:AS7 AY5:AY7">
    <cfRule type="cellIs" dxfId="9" priority="2" operator="greaterThan">
      <formula>0.5</formula>
    </cfRule>
  </conditionalFormatting>
  <conditionalFormatting sqref="I5:I7 O5:O7 U5:U7 AA5:AA7 AG5:AG7 AM5:AM7 AS5:AS7 AY5:AY7">
    <cfRule type="cellIs" dxfId="10" priority="3" operator="lessThan">
      <formula>0.5</formula>
    </cfRule>
  </conditionalFormatting>
  <conditionalFormatting sqref="I5:I7">
    <cfRule type="cellIs" dxfId="9" priority="4" operator="between">
      <formula>0.5</formula>
      <formula>0.74</formula>
    </cfRule>
  </conditionalFormatting>
  <conditionalFormatting sqref="I5:I7">
    <cfRule type="cellIs" dxfId="12" priority="5" operator="between">
      <formula>0</formula>
      <formula>0.49</formula>
    </cfRule>
  </conditionalFormatting>
  <conditionalFormatting sqref="O5:O7">
    <cfRule type="colorScale" priority="6">
      <colorScale>
        <cfvo type="percent" val="0-50"/>
        <cfvo type="percent" val="75-100"/>
        <color rgb="FF9CC2E5"/>
        <color rgb="FFFFEF9C"/>
      </colorScale>
    </cfRule>
  </conditionalFormatting>
  <conditionalFormatting sqref="U5:U7">
    <cfRule type="colorScale" priority="7">
      <colorScale>
        <cfvo type="percent" val="0-50"/>
        <cfvo type="percent" val="75-100"/>
        <color rgb="FF9CC2E5"/>
        <color rgb="FFFFEF9C"/>
      </colorScale>
    </cfRule>
  </conditionalFormatting>
  <conditionalFormatting sqref="AA5:AA7">
    <cfRule type="colorScale" priority="8">
      <colorScale>
        <cfvo type="percent" val="0-50"/>
        <cfvo type="percent" val="75-100"/>
        <color rgb="FF9CC2E5"/>
        <color rgb="FFFFEF9C"/>
      </colorScale>
    </cfRule>
  </conditionalFormatting>
  <conditionalFormatting sqref="AG5:AG7">
    <cfRule type="colorScale" priority="9">
      <colorScale>
        <cfvo type="percent" val="0-50"/>
        <cfvo type="percent" val="75-100"/>
        <color rgb="FF9CC2E5"/>
        <color rgb="FFFFEF9C"/>
      </colorScale>
    </cfRule>
  </conditionalFormatting>
  <conditionalFormatting sqref="AM5:AM7">
    <cfRule type="colorScale" priority="10">
      <colorScale>
        <cfvo type="percent" val="0-50"/>
        <cfvo type="percent" val="75-100"/>
        <color rgb="FF9CC2E5"/>
        <color rgb="FFFFEF9C"/>
      </colorScale>
    </cfRule>
  </conditionalFormatting>
  <conditionalFormatting sqref="AN5:AN7">
    <cfRule type="colorScale" priority="11">
      <colorScale>
        <cfvo type="percent" val="0-50"/>
        <cfvo type="percent" val="75-100"/>
        <color rgb="FFBDD6EE"/>
        <color/>
      </colorScale>
    </cfRule>
  </conditionalFormatting>
  <conditionalFormatting sqref="AS5:AS7">
    <cfRule type="colorScale" priority="12">
      <colorScale>
        <cfvo type="percent" val="0-50"/>
        <cfvo type="percent" val="75-100"/>
        <color rgb="FF9CC2E5"/>
        <color rgb="FFFFEF9C"/>
      </colorScale>
    </cfRule>
  </conditionalFormatting>
  <conditionalFormatting sqref="AY5:AY7">
    <cfRule type="colorScale" priority="13">
      <colorScale>
        <cfvo type="percent" val="0-50"/>
        <cfvo type="percent" val="75-100"/>
        <color rgb="FF9CC2E5"/>
        <color rgb="FFFFEF9C"/>
      </colorScale>
    </cfRule>
  </conditionalFormatting>
  <conditionalFormatting sqref="AZ5:AZ7">
    <cfRule type="colorScale" priority="14">
      <colorScale>
        <cfvo type="percent" val="0-50"/>
        <cfvo type="percent" val="75-100"/>
        <color rgb="FFBDD6EE"/>
        <color/>
      </colorScale>
    </cfRule>
  </conditionalFormatting>
  <conditionalFormatting sqref="I5:I7">
    <cfRule type="colorScale" priority="15">
      <colorScale>
        <cfvo type="percent" val="0-50"/>
        <cfvo type="percent" val="75-100"/>
        <color rgb="FF9CC2E5"/>
        <color rgb="FFFFEF9C"/>
      </colorScale>
    </cfRule>
  </conditionalFormatting>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9.57"/>
    <col customWidth="1" min="3" max="3" width="19.14"/>
    <col customWidth="1" min="4" max="4" width="13.0"/>
    <col customWidth="1" min="5" max="5" width="7.14"/>
    <col customWidth="1" min="6" max="6" width="7.43"/>
    <col customWidth="1" min="7" max="7" width="7.57"/>
    <col customWidth="1" min="8" max="8" width="8.14"/>
    <col customWidth="1" min="9" max="9" width="9.86"/>
    <col customWidth="1" min="10" max="10" width="8.57"/>
    <col customWidth="1" min="11" max="11" width="6.43"/>
    <col customWidth="1" min="12" max="12" width="6.0"/>
    <col customWidth="1" min="13" max="13" width="7.0"/>
    <col customWidth="1" min="14" max="14" width="7.43"/>
    <col customWidth="1" min="15" max="16" width="5.57"/>
    <col customWidth="1" min="17" max="17" width="6.14"/>
    <col customWidth="1" min="18" max="18" width="5.86"/>
    <col customWidth="1" min="19" max="19" width="6.43"/>
    <col customWidth="1" min="20" max="20" width="7.43"/>
    <col customWidth="1" min="21" max="21" width="6.57"/>
    <col customWidth="1" min="22" max="22" width="5.57"/>
    <col customWidth="1" min="23" max="23" width="6.43"/>
    <col customWidth="1" min="24" max="24" width="5.43"/>
    <col customWidth="1" min="25" max="25" width="6.43"/>
    <col customWidth="1" min="26" max="26" width="7.14"/>
    <col customWidth="1" min="27" max="27" width="5.86"/>
    <col customWidth="1" min="28" max="28" width="6.43"/>
    <col customWidth="1" min="29" max="34" width="9.0"/>
  </cols>
  <sheetData>
    <row r="1" ht="14.25" customHeight="1">
      <c r="A1" s="139" t="s">
        <v>182</v>
      </c>
      <c r="B1" s="2"/>
      <c r="C1" s="2"/>
      <c r="D1" s="2"/>
      <c r="E1" s="2"/>
      <c r="F1" s="2"/>
      <c r="G1" s="2"/>
      <c r="H1" s="2"/>
      <c r="I1" s="2"/>
      <c r="J1" s="2"/>
      <c r="K1" s="2"/>
      <c r="L1" s="2"/>
      <c r="M1" s="2"/>
      <c r="N1" s="2"/>
      <c r="O1" s="2"/>
      <c r="P1" s="2"/>
      <c r="Q1" s="2"/>
      <c r="R1" s="2"/>
      <c r="S1" s="2"/>
      <c r="T1" s="2"/>
      <c r="U1" s="2"/>
      <c r="V1" s="3"/>
    </row>
    <row r="2" ht="14.25" customHeight="1">
      <c r="A2" s="7"/>
      <c r="B2" s="2"/>
      <c r="C2" s="2"/>
      <c r="D2" s="7" t="s">
        <v>1</v>
      </c>
      <c r="E2" s="2"/>
      <c r="F2" s="2"/>
      <c r="G2" s="2"/>
      <c r="H2" s="2"/>
      <c r="I2" s="2"/>
      <c r="J2" s="3"/>
      <c r="K2" s="7" t="s">
        <v>2</v>
      </c>
      <c r="L2" s="2"/>
      <c r="M2" s="2"/>
      <c r="N2" s="2"/>
      <c r="O2" s="2"/>
      <c r="P2" s="3"/>
      <c r="Q2" s="7" t="s">
        <v>3</v>
      </c>
      <c r="R2" s="2"/>
      <c r="S2" s="2"/>
      <c r="T2" s="2"/>
      <c r="U2" s="2"/>
      <c r="V2" s="3"/>
      <c r="W2" s="7" t="s">
        <v>183</v>
      </c>
      <c r="X2" s="2"/>
      <c r="Y2" s="2"/>
      <c r="Z2" s="2"/>
      <c r="AA2" s="2"/>
      <c r="AB2" s="3"/>
      <c r="AC2" s="7" t="s">
        <v>170</v>
      </c>
      <c r="AD2" s="2"/>
      <c r="AE2" s="2"/>
      <c r="AF2" s="2"/>
      <c r="AG2" s="2"/>
      <c r="AH2" s="3"/>
    </row>
    <row r="3" ht="14.25" customHeight="1">
      <c r="A3" s="4" t="s">
        <v>33</v>
      </c>
      <c r="B3" s="27" t="s">
        <v>34</v>
      </c>
      <c r="C3" s="7" t="s">
        <v>35</v>
      </c>
      <c r="D3" s="27" t="s">
        <v>97</v>
      </c>
      <c r="E3" s="27" t="s">
        <v>38</v>
      </c>
      <c r="F3" s="27" t="s">
        <v>39</v>
      </c>
      <c r="G3" s="7" t="s">
        <v>40</v>
      </c>
      <c r="H3" s="3"/>
      <c r="I3" s="7" t="s">
        <v>41</v>
      </c>
      <c r="J3" s="3"/>
      <c r="K3" s="4" t="s">
        <v>38</v>
      </c>
      <c r="L3" s="4" t="s">
        <v>39</v>
      </c>
      <c r="M3" s="31" t="s">
        <v>40</v>
      </c>
      <c r="N3" s="31"/>
      <c r="O3" s="7" t="s">
        <v>41</v>
      </c>
      <c r="P3" s="3"/>
      <c r="Q3" s="4" t="s">
        <v>38</v>
      </c>
      <c r="R3" s="4" t="s">
        <v>39</v>
      </c>
      <c r="S3" s="31" t="s">
        <v>40</v>
      </c>
      <c r="T3" s="31"/>
      <c r="U3" s="7" t="s">
        <v>41</v>
      </c>
      <c r="V3" s="3"/>
      <c r="W3" s="4" t="s">
        <v>38</v>
      </c>
      <c r="X3" s="4" t="s">
        <v>39</v>
      </c>
      <c r="Y3" s="31" t="s">
        <v>40</v>
      </c>
      <c r="Z3" s="31"/>
      <c r="AA3" s="7" t="s">
        <v>41</v>
      </c>
      <c r="AB3" s="3"/>
      <c r="AC3" s="4" t="s">
        <v>38</v>
      </c>
      <c r="AD3" s="4" t="s">
        <v>39</v>
      </c>
      <c r="AE3" s="31" t="s">
        <v>40</v>
      </c>
      <c r="AF3" s="31"/>
      <c r="AG3" s="7" t="s">
        <v>41</v>
      </c>
      <c r="AH3" s="3"/>
    </row>
    <row r="4" ht="14.25" customHeight="1">
      <c r="A4" s="198" t="s">
        <v>184</v>
      </c>
      <c r="B4" s="2"/>
      <c r="C4" s="199"/>
      <c r="D4" s="33"/>
      <c r="E4" s="27"/>
      <c r="F4" s="27"/>
      <c r="G4" s="7"/>
      <c r="H4" s="31" t="s">
        <v>37</v>
      </c>
      <c r="I4" s="7" t="s">
        <v>38</v>
      </c>
      <c r="J4" s="33" t="s">
        <v>39</v>
      </c>
      <c r="K4" s="4"/>
      <c r="L4" s="4"/>
      <c r="M4" s="31"/>
      <c r="N4" s="31" t="s">
        <v>37</v>
      </c>
      <c r="O4" s="7" t="s">
        <v>38</v>
      </c>
      <c r="P4" s="33" t="s">
        <v>39</v>
      </c>
      <c r="Q4" s="4"/>
      <c r="R4" s="4"/>
      <c r="S4" s="31"/>
      <c r="T4" s="31" t="s">
        <v>37</v>
      </c>
      <c r="U4" s="7" t="s">
        <v>38</v>
      </c>
      <c r="V4" s="33" t="s">
        <v>39</v>
      </c>
      <c r="W4" s="4"/>
      <c r="X4" s="4"/>
      <c r="Y4" s="31"/>
      <c r="Z4" s="31" t="s">
        <v>37</v>
      </c>
      <c r="AA4" s="7" t="s">
        <v>38</v>
      </c>
      <c r="AB4" s="33" t="s">
        <v>39</v>
      </c>
      <c r="AC4" s="4"/>
      <c r="AD4" s="4"/>
      <c r="AE4" s="31"/>
      <c r="AF4" s="31" t="s">
        <v>37</v>
      </c>
      <c r="AG4" s="7" t="s">
        <v>38</v>
      </c>
      <c r="AH4" s="33" t="s">
        <v>39</v>
      </c>
    </row>
    <row r="5" ht="14.25" customHeight="1">
      <c r="A5" s="35" t="s">
        <v>185</v>
      </c>
      <c r="B5" s="49" t="s">
        <v>186</v>
      </c>
      <c r="C5" s="54" t="s">
        <v>187</v>
      </c>
      <c r="D5" s="54">
        <v>19.0</v>
      </c>
      <c r="E5" s="54">
        <v>19.0</v>
      </c>
      <c r="F5" s="54">
        <v>0.0</v>
      </c>
      <c r="G5" s="64">
        <v>19.0</v>
      </c>
      <c r="H5" s="70">
        <v>0.0</v>
      </c>
      <c r="I5" s="121" t="str">
        <f t="shared" ref="I5:I9" si="1">(E5/G5)</f>
        <v>100%</v>
      </c>
      <c r="J5" s="32" t="str">
        <f t="shared" ref="J5:J9" si="2">(F5/G5)</f>
        <v>0%</v>
      </c>
      <c r="K5" s="54">
        <v>16.0</v>
      </c>
      <c r="L5" s="54">
        <v>3.0</v>
      </c>
      <c r="M5" s="64">
        <v>19.0</v>
      </c>
      <c r="N5" s="54">
        <v>0.0</v>
      </c>
      <c r="O5" s="121" t="str">
        <f t="shared" ref="O5:O9" si="3">(K5/M5)</f>
        <v>84%</v>
      </c>
      <c r="P5" s="32" t="str">
        <f t="shared" ref="P5:P9" si="4">(L5/M5)</f>
        <v>16%</v>
      </c>
      <c r="Q5" s="54">
        <v>5.0</v>
      </c>
      <c r="R5" s="54">
        <v>14.0</v>
      </c>
      <c r="S5" s="54">
        <v>19.0</v>
      </c>
      <c r="T5" s="54">
        <v>0.0</v>
      </c>
      <c r="U5" s="120" t="str">
        <f t="shared" ref="U5:U9" si="5">(Q5/S5)</f>
        <v>26%</v>
      </c>
      <c r="V5" s="42" t="str">
        <f t="shared" ref="V5:V9" si="6">(R5/S5)</f>
        <v>74%</v>
      </c>
      <c r="W5" s="54">
        <v>3.0</v>
      </c>
      <c r="X5" s="54">
        <v>16.0</v>
      </c>
      <c r="Y5" s="64">
        <v>19.0</v>
      </c>
      <c r="Z5" s="54">
        <v>0.0</v>
      </c>
      <c r="AA5" s="120" t="str">
        <f t="shared" ref="AA5:AA9" si="7">(W5/Y5)</f>
        <v>16%</v>
      </c>
      <c r="AB5" s="32" t="str">
        <f t="shared" ref="AB5:AB9" si="8">(X5/Y5)</f>
        <v>84%</v>
      </c>
      <c r="AC5" s="54">
        <v>3.0</v>
      </c>
      <c r="AD5" s="54">
        <v>16.0</v>
      </c>
      <c r="AE5" s="64">
        <v>19.0</v>
      </c>
      <c r="AF5" s="54">
        <v>0.0</v>
      </c>
      <c r="AG5" s="120" t="str">
        <f t="shared" ref="AG5:AG9" si="9">(AC5/AE5)</f>
        <v>16%</v>
      </c>
      <c r="AH5" s="32" t="str">
        <f t="shared" ref="AH5:AH9" si="10">(AD5/AE5)</f>
        <v>84%</v>
      </c>
    </row>
    <row r="6" ht="14.25" customHeight="1">
      <c r="A6" s="71"/>
      <c r="B6" s="49" t="s">
        <v>188</v>
      </c>
      <c r="C6" s="54" t="s">
        <v>189</v>
      </c>
      <c r="D6" s="54">
        <v>26.0</v>
      </c>
      <c r="E6" s="54">
        <v>20.0</v>
      </c>
      <c r="F6" s="54">
        <v>4.0</v>
      </c>
      <c r="G6" s="64">
        <v>24.0</v>
      </c>
      <c r="H6" s="70">
        <v>2.0</v>
      </c>
      <c r="I6" s="121" t="str">
        <f t="shared" si="1"/>
        <v>83%</v>
      </c>
      <c r="J6" s="32" t="str">
        <f t="shared" si="2"/>
        <v>17%</v>
      </c>
      <c r="K6" s="54">
        <v>22.0</v>
      </c>
      <c r="L6" s="54">
        <v>2.0</v>
      </c>
      <c r="M6" s="64">
        <v>24.0</v>
      </c>
      <c r="N6" s="54">
        <v>2.0</v>
      </c>
      <c r="O6" s="121" t="str">
        <f t="shared" si="3"/>
        <v>92%</v>
      </c>
      <c r="P6" s="32" t="str">
        <f t="shared" si="4"/>
        <v>8%</v>
      </c>
      <c r="Q6" s="54">
        <v>19.0</v>
      </c>
      <c r="R6" s="54">
        <v>2.0</v>
      </c>
      <c r="S6" s="54">
        <v>21.0</v>
      </c>
      <c r="T6" s="54">
        <v>5.0</v>
      </c>
      <c r="U6" s="120" t="str">
        <f t="shared" si="5"/>
        <v>90%</v>
      </c>
      <c r="V6" s="42" t="str">
        <f t="shared" si="6"/>
        <v>10%</v>
      </c>
      <c r="W6" s="54">
        <v>18.0</v>
      </c>
      <c r="X6" s="54">
        <v>4.0</v>
      </c>
      <c r="Y6" s="64">
        <v>22.0</v>
      </c>
      <c r="Z6" s="54">
        <v>4.0</v>
      </c>
      <c r="AA6" s="120" t="str">
        <f t="shared" si="7"/>
        <v>82%</v>
      </c>
      <c r="AB6" s="32" t="str">
        <f t="shared" si="8"/>
        <v>18%</v>
      </c>
      <c r="AC6" s="54">
        <v>6.0</v>
      </c>
      <c r="AD6" s="54">
        <v>16.0</v>
      </c>
      <c r="AE6" s="64">
        <v>22.0</v>
      </c>
      <c r="AF6" s="54">
        <v>4.0</v>
      </c>
      <c r="AG6" s="120" t="str">
        <f t="shared" si="9"/>
        <v>27%</v>
      </c>
      <c r="AH6" s="32" t="str">
        <f t="shared" si="10"/>
        <v>73%</v>
      </c>
    </row>
    <row r="7" ht="14.25" customHeight="1">
      <c r="A7" s="35" t="s">
        <v>190</v>
      </c>
      <c r="B7" s="49" t="s">
        <v>186</v>
      </c>
      <c r="C7" s="49" t="s">
        <v>191</v>
      </c>
      <c r="D7" s="54">
        <v>35.0</v>
      </c>
      <c r="E7" s="54">
        <v>13.0</v>
      </c>
      <c r="F7" s="54">
        <v>12.0</v>
      </c>
      <c r="G7" s="64">
        <v>25.0</v>
      </c>
      <c r="H7" s="70">
        <v>10.0</v>
      </c>
      <c r="I7" s="121" t="str">
        <f t="shared" si="1"/>
        <v>52%</v>
      </c>
      <c r="J7" s="32" t="str">
        <f t="shared" si="2"/>
        <v>48%</v>
      </c>
      <c r="K7" s="54">
        <v>19.0</v>
      </c>
      <c r="L7" s="54">
        <v>11.0</v>
      </c>
      <c r="M7" s="64">
        <v>30.0</v>
      </c>
      <c r="N7" s="54">
        <v>5.0</v>
      </c>
      <c r="O7" s="121" t="str">
        <f t="shared" si="3"/>
        <v>63%</v>
      </c>
      <c r="P7" s="32" t="str">
        <f t="shared" si="4"/>
        <v>37%</v>
      </c>
      <c r="Q7" s="54">
        <v>11.0</v>
      </c>
      <c r="R7" s="54">
        <v>20.0</v>
      </c>
      <c r="S7" s="54">
        <v>31.0</v>
      </c>
      <c r="T7" s="54">
        <v>4.0</v>
      </c>
      <c r="U7" s="120" t="str">
        <f t="shared" si="5"/>
        <v>35%</v>
      </c>
      <c r="V7" s="42" t="str">
        <f t="shared" si="6"/>
        <v>65%</v>
      </c>
      <c r="W7" s="54">
        <v>10.0</v>
      </c>
      <c r="X7" s="54">
        <v>15.0</v>
      </c>
      <c r="Y7" s="54">
        <v>25.0</v>
      </c>
      <c r="Z7" s="54">
        <v>10.0</v>
      </c>
      <c r="AA7" s="120" t="str">
        <f t="shared" si="7"/>
        <v>40%</v>
      </c>
      <c r="AB7" s="32" t="str">
        <f t="shared" si="8"/>
        <v>60%</v>
      </c>
      <c r="AC7" s="54">
        <v>3.0</v>
      </c>
      <c r="AD7" s="54">
        <v>23.0</v>
      </c>
      <c r="AE7" s="54">
        <v>26.0</v>
      </c>
      <c r="AF7" s="54">
        <v>9.0</v>
      </c>
      <c r="AG7" s="120" t="str">
        <f t="shared" si="9"/>
        <v>12%</v>
      </c>
      <c r="AH7" s="32" t="str">
        <f t="shared" si="10"/>
        <v>88%</v>
      </c>
    </row>
    <row r="8" ht="14.25" customHeight="1">
      <c r="A8" s="58"/>
      <c r="B8" s="54" t="s">
        <v>192</v>
      </c>
      <c r="C8" s="54" t="s">
        <v>193</v>
      </c>
      <c r="D8" s="54">
        <v>35.0</v>
      </c>
      <c r="E8" s="54">
        <v>11.0</v>
      </c>
      <c r="F8" s="54">
        <v>23.0</v>
      </c>
      <c r="G8" s="64">
        <v>34.0</v>
      </c>
      <c r="H8" s="70">
        <v>1.0</v>
      </c>
      <c r="I8" s="121" t="str">
        <f t="shared" si="1"/>
        <v>32%</v>
      </c>
      <c r="J8" s="32" t="str">
        <f t="shared" si="2"/>
        <v>68%</v>
      </c>
      <c r="K8" s="54">
        <v>11.0</v>
      </c>
      <c r="L8" s="54">
        <v>22.0</v>
      </c>
      <c r="M8" s="64">
        <v>33.0</v>
      </c>
      <c r="N8" s="54">
        <v>2.0</v>
      </c>
      <c r="O8" s="121" t="str">
        <f t="shared" si="3"/>
        <v>33%</v>
      </c>
      <c r="P8" s="32" t="str">
        <f t="shared" si="4"/>
        <v>67%</v>
      </c>
      <c r="Q8" s="54">
        <v>16.0</v>
      </c>
      <c r="R8" s="54">
        <v>18.0</v>
      </c>
      <c r="S8" s="54">
        <v>34.0</v>
      </c>
      <c r="T8" s="54">
        <v>1.0</v>
      </c>
      <c r="U8" s="120" t="str">
        <f t="shared" si="5"/>
        <v>47%</v>
      </c>
      <c r="V8" s="42" t="str">
        <f t="shared" si="6"/>
        <v>53%</v>
      </c>
      <c r="W8" s="54">
        <v>13.0</v>
      </c>
      <c r="X8" s="54">
        <v>21.0</v>
      </c>
      <c r="Y8" s="54">
        <v>34.0</v>
      </c>
      <c r="Z8" s="54">
        <v>1.0</v>
      </c>
      <c r="AA8" s="120" t="str">
        <f t="shared" si="7"/>
        <v>38%</v>
      </c>
      <c r="AB8" s="32" t="str">
        <f t="shared" si="8"/>
        <v>62%</v>
      </c>
      <c r="AC8" s="54">
        <v>1.0</v>
      </c>
      <c r="AD8" s="54">
        <v>32.0</v>
      </c>
      <c r="AE8" s="54">
        <v>33.0</v>
      </c>
      <c r="AF8" s="54">
        <v>2.0</v>
      </c>
      <c r="AG8" s="120" t="str">
        <f t="shared" si="9"/>
        <v>3%</v>
      </c>
      <c r="AH8" s="32" t="str">
        <f t="shared" si="10"/>
        <v>97%</v>
      </c>
    </row>
    <row r="9" ht="14.25" customHeight="1">
      <c r="A9" s="71"/>
      <c r="B9" s="54" t="s">
        <v>194</v>
      </c>
      <c r="C9" s="54" t="s">
        <v>195</v>
      </c>
      <c r="D9" s="54">
        <v>34.0</v>
      </c>
      <c r="E9" s="54">
        <v>25.0</v>
      </c>
      <c r="F9" s="54">
        <v>7.0</v>
      </c>
      <c r="G9" s="64">
        <v>32.0</v>
      </c>
      <c r="H9" s="70">
        <v>2.0</v>
      </c>
      <c r="I9" s="121" t="str">
        <f t="shared" si="1"/>
        <v>78%</v>
      </c>
      <c r="J9" s="32" t="str">
        <f t="shared" si="2"/>
        <v>22%</v>
      </c>
      <c r="K9" s="54">
        <v>32.0</v>
      </c>
      <c r="L9" s="54">
        <v>1.0</v>
      </c>
      <c r="M9" s="64">
        <v>33.0</v>
      </c>
      <c r="N9" s="54">
        <v>2.0</v>
      </c>
      <c r="O9" s="121" t="str">
        <f t="shared" si="3"/>
        <v>97%</v>
      </c>
      <c r="P9" s="32" t="str">
        <f t="shared" si="4"/>
        <v>3%</v>
      </c>
      <c r="Q9" s="54">
        <v>24.0</v>
      </c>
      <c r="R9" s="54">
        <v>1.0</v>
      </c>
      <c r="S9" s="54">
        <v>25.0</v>
      </c>
      <c r="T9" s="54">
        <v>9.0</v>
      </c>
      <c r="U9" s="121" t="str">
        <f t="shared" si="5"/>
        <v>96%</v>
      </c>
      <c r="V9" s="42" t="str">
        <f t="shared" si="6"/>
        <v>4%</v>
      </c>
      <c r="W9" s="54">
        <v>14.0</v>
      </c>
      <c r="X9" s="54">
        <v>16.0</v>
      </c>
      <c r="Y9" s="54">
        <v>30.0</v>
      </c>
      <c r="Z9" s="54">
        <v>4.0</v>
      </c>
      <c r="AA9" s="120" t="str">
        <f t="shared" si="7"/>
        <v>47%</v>
      </c>
      <c r="AB9" s="32" t="str">
        <f t="shared" si="8"/>
        <v>53%</v>
      </c>
      <c r="AC9" s="54">
        <v>26.0</v>
      </c>
      <c r="AD9" s="54">
        <v>8.0</v>
      </c>
      <c r="AE9" s="54">
        <v>34.0</v>
      </c>
      <c r="AF9" s="54">
        <v>0.0</v>
      </c>
      <c r="AG9" s="120" t="str">
        <f t="shared" si="9"/>
        <v>76%</v>
      </c>
      <c r="AH9" s="32" t="str">
        <f t="shared" si="10"/>
        <v>24%</v>
      </c>
    </row>
    <row r="10" ht="12.0" customHeight="1">
      <c r="A10" s="200" t="s">
        <v>112</v>
      </c>
      <c r="B10" s="110"/>
      <c r="C10" s="201" t="s">
        <v>113</v>
      </c>
      <c r="D10" s="201" t="s">
        <v>64</v>
      </c>
      <c r="E10" s="82"/>
      <c r="F10" s="127"/>
      <c r="N10" s="127"/>
      <c r="S10" s="89"/>
    </row>
    <row r="11" ht="12.75" customHeight="1">
      <c r="A11" s="118" t="s">
        <v>160</v>
      </c>
      <c r="B11" s="3"/>
      <c r="C11" s="49" t="s">
        <v>66</v>
      </c>
      <c r="D11" s="88" t="s">
        <v>67</v>
      </c>
      <c r="E11" s="49"/>
      <c r="F11" s="84"/>
      <c r="G11" s="85"/>
      <c r="I11" s="85"/>
      <c r="J11" s="85"/>
      <c r="K11" s="85"/>
      <c r="N11" s="179"/>
      <c r="O11" s="179"/>
      <c r="S11" s="145"/>
      <c r="T11" s="145"/>
      <c r="U11" s="145"/>
      <c r="V11" s="145"/>
    </row>
    <row r="12" ht="14.25" customHeight="1">
      <c r="A12" s="118" t="s">
        <v>68</v>
      </c>
      <c r="B12" s="3"/>
      <c r="C12" s="49" t="s">
        <v>69</v>
      </c>
      <c r="D12" s="131" t="s">
        <v>70</v>
      </c>
      <c r="E12" s="49"/>
      <c r="F12" s="89"/>
      <c r="G12" s="90"/>
      <c r="I12" s="91"/>
      <c r="J12" s="91"/>
      <c r="K12" s="91"/>
      <c r="N12" s="85"/>
      <c r="T12" s="85"/>
      <c r="U12" s="85"/>
      <c r="V12" s="85"/>
    </row>
    <row r="13" ht="13.5" customHeight="1">
      <c r="A13" s="118" t="s">
        <v>117</v>
      </c>
      <c r="B13" s="3"/>
      <c r="C13" s="49" t="s">
        <v>72</v>
      </c>
      <c r="D13" s="94" t="s">
        <v>73</v>
      </c>
      <c r="E13" s="49"/>
      <c r="F13" s="79"/>
      <c r="G13" s="79"/>
      <c r="I13" s="91"/>
      <c r="J13" s="91"/>
      <c r="K13" s="91"/>
      <c r="N13" s="85"/>
      <c r="Q13" s="91"/>
      <c r="T13" s="146"/>
      <c r="U13" s="79"/>
      <c r="V13" s="93"/>
    </row>
    <row r="14" ht="14.25" customHeight="1">
      <c r="B14" s="91"/>
      <c r="D14" s="91"/>
      <c r="E14" s="91"/>
      <c r="F14" s="91"/>
      <c r="G14" s="79"/>
      <c r="I14" s="91"/>
      <c r="J14" s="91"/>
      <c r="K14" s="91"/>
      <c r="N14" s="85"/>
      <c r="Q14" s="91"/>
      <c r="T14" s="146"/>
      <c r="U14" s="79"/>
      <c r="V14" s="146"/>
    </row>
    <row r="15" ht="15.0" customHeight="1">
      <c r="A15" s="126" t="s">
        <v>33</v>
      </c>
      <c r="B15" s="126" t="s">
        <v>74</v>
      </c>
      <c r="C15" s="126" t="s">
        <v>75</v>
      </c>
      <c r="D15" s="126" t="s">
        <v>35</v>
      </c>
      <c r="E15" s="125" t="s">
        <v>76</v>
      </c>
      <c r="F15" s="2"/>
      <c r="G15" s="2"/>
      <c r="H15" s="2"/>
      <c r="I15" s="2"/>
      <c r="J15" s="2"/>
      <c r="K15" s="2"/>
      <c r="L15" s="3"/>
      <c r="M15" s="180" t="s">
        <v>77</v>
      </c>
      <c r="N15" s="2"/>
      <c r="O15" s="2"/>
      <c r="P15" s="2"/>
      <c r="Q15" s="2"/>
      <c r="R15" s="2"/>
      <c r="S15" s="2"/>
      <c r="T15" s="3"/>
      <c r="V15" s="148"/>
    </row>
    <row r="16" ht="75.75" customHeight="1">
      <c r="A16" s="34" t="s">
        <v>196</v>
      </c>
      <c r="B16" s="107" t="s">
        <v>197</v>
      </c>
      <c r="C16" s="202" t="s">
        <v>198</v>
      </c>
      <c r="D16" s="107" t="s">
        <v>199</v>
      </c>
      <c r="E16" s="203" t="s">
        <v>200</v>
      </c>
      <c r="F16" s="2"/>
      <c r="G16" s="2"/>
      <c r="H16" s="2"/>
      <c r="I16" s="2"/>
      <c r="J16" s="2"/>
      <c r="K16" s="2"/>
      <c r="L16" s="3"/>
      <c r="M16" s="204"/>
      <c r="N16" s="101"/>
      <c r="O16" s="101"/>
      <c r="P16" s="101"/>
      <c r="Q16" s="101"/>
      <c r="R16" s="101"/>
      <c r="S16" s="101"/>
      <c r="T16" s="102"/>
    </row>
    <row r="17" ht="45.0" customHeight="1">
      <c r="A17" s="34" t="s">
        <v>201</v>
      </c>
      <c r="B17" s="107" t="s">
        <v>202</v>
      </c>
      <c r="C17" s="205" t="s">
        <v>203</v>
      </c>
      <c r="D17" s="206" t="s">
        <v>204</v>
      </c>
      <c r="E17" s="207" t="s">
        <v>205</v>
      </c>
      <c r="F17" s="2"/>
      <c r="G17" s="2"/>
      <c r="H17" s="2"/>
      <c r="I17" s="2"/>
      <c r="J17" s="2"/>
      <c r="K17" s="2"/>
      <c r="L17" s="3"/>
      <c r="M17" s="108"/>
      <c r="N17" s="109"/>
      <c r="O17" s="109"/>
      <c r="P17" s="109"/>
      <c r="Q17" s="109"/>
      <c r="R17" s="109"/>
      <c r="S17" s="109"/>
      <c r="T17" s="110"/>
    </row>
    <row r="18" ht="14.25" customHeight="1">
      <c r="B18" s="91"/>
      <c r="D18" s="91"/>
      <c r="E18" s="91"/>
      <c r="F18" s="79"/>
      <c r="G18" s="79"/>
      <c r="J18" s="91"/>
      <c r="N18" s="84"/>
      <c r="Q18" s="91"/>
    </row>
    <row r="19" ht="14.25" customHeight="1">
      <c r="B19" s="91"/>
      <c r="D19" s="91"/>
      <c r="E19" s="91"/>
      <c r="F19" s="127"/>
      <c r="G19" s="91"/>
      <c r="I19" s="91"/>
      <c r="J19" s="91"/>
      <c r="K19" s="91"/>
      <c r="N19" s="84"/>
      <c r="Q19" s="91"/>
    </row>
    <row r="20" ht="14.25" customHeight="1">
      <c r="B20" s="91"/>
      <c r="D20" s="91"/>
      <c r="E20" s="91"/>
      <c r="F20" s="91"/>
      <c r="G20" s="91"/>
      <c r="I20" s="91"/>
      <c r="J20" s="91"/>
      <c r="K20" s="91"/>
    </row>
    <row r="21" ht="14.25" customHeight="1">
      <c r="B21" s="91"/>
      <c r="D21" s="91"/>
      <c r="E21" s="91"/>
      <c r="F21" s="91"/>
      <c r="G21" s="91"/>
      <c r="I21" s="91"/>
      <c r="J21" s="91"/>
      <c r="K21" s="91"/>
    </row>
    <row r="22" ht="14.25" customHeight="1">
      <c r="B22" s="91"/>
      <c r="D22" s="91"/>
      <c r="E22" s="91"/>
      <c r="F22" s="145"/>
      <c r="G22" s="91"/>
      <c r="J22" s="91"/>
    </row>
    <row r="23" ht="14.25" customHeight="1">
      <c r="B23" s="91"/>
      <c r="D23" s="91"/>
      <c r="E23" s="91"/>
      <c r="F23" s="145"/>
      <c r="G23" s="91"/>
      <c r="J23" s="91"/>
    </row>
    <row r="24" ht="14.25" customHeight="1">
      <c r="B24" s="91"/>
      <c r="D24" s="91"/>
      <c r="E24" s="91"/>
      <c r="F24" s="145"/>
      <c r="G24" s="91"/>
      <c r="J24" s="91"/>
    </row>
    <row r="25" ht="30.0" customHeight="1">
      <c r="F25" s="191"/>
      <c r="G25" s="90"/>
    </row>
    <row r="26" ht="14.25" customHeight="1">
      <c r="G26" s="91"/>
    </row>
    <row r="27" ht="14.25" customHeight="1">
      <c r="G27" s="91"/>
    </row>
    <row r="28" ht="14.25" customHeight="1">
      <c r="B28" s="91"/>
      <c r="D28" s="91"/>
      <c r="E28" s="91"/>
      <c r="F28" s="91"/>
      <c r="G28" s="91"/>
    </row>
    <row r="29" ht="14.25" customHeight="1">
      <c r="B29" s="91"/>
      <c r="D29" s="91"/>
      <c r="E29" s="91"/>
      <c r="F29" s="91"/>
      <c r="G29" s="91"/>
    </row>
    <row r="30" ht="14.25" customHeight="1">
      <c r="B30" s="91"/>
      <c r="D30" s="91"/>
      <c r="E30" s="91"/>
      <c r="F30" s="91"/>
      <c r="G30" s="91"/>
    </row>
    <row r="31" ht="14.25" customHeight="1">
      <c r="B31" s="91"/>
      <c r="D31" s="91"/>
      <c r="E31" s="91"/>
      <c r="F31" s="91"/>
      <c r="G31" s="91"/>
    </row>
    <row r="32" ht="14.25" customHeight="1">
      <c r="B32" s="91"/>
      <c r="D32" s="91"/>
      <c r="E32" s="91"/>
      <c r="F32" s="91"/>
      <c r="G32" s="91"/>
    </row>
    <row r="33" ht="14.25" customHeight="1">
      <c r="B33" s="91"/>
      <c r="D33" s="91"/>
      <c r="E33" s="91"/>
      <c r="F33" s="91"/>
      <c r="G33" s="91"/>
    </row>
    <row r="34" ht="14.25" customHeight="1">
      <c r="B34" s="91"/>
      <c r="D34" s="91"/>
      <c r="E34" s="91"/>
      <c r="F34" s="91"/>
      <c r="G34" s="91"/>
    </row>
    <row r="35" ht="14.25" customHeight="1">
      <c r="B35" s="91"/>
      <c r="D35" s="91"/>
      <c r="E35" s="91"/>
      <c r="F35" s="91"/>
      <c r="G35" s="91"/>
    </row>
    <row r="36" ht="14.25" customHeight="1">
      <c r="B36" s="91"/>
      <c r="D36" s="91"/>
      <c r="E36" s="91"/>
      <c r="F36" s="91"/>
      <c r="G36" s="91"/>
    </row>
    <row r="37" ht="14.25" customHeight="1">
      <c r="B37" s="91"/>
      <c r="D37" s="91"/>
      <c r="E37" s="91"/>
      <c r="F37" s="91"/>
      <c r="G37" s="91"/>
    </row>
    <row r="38" ht="14.25" customHeight="1">
      <c r="B38" s="91"/>
      <c r="D38" s="91"/>
      <c r="E38" s="91"/>
      <c r="F38" s="91"/>
      <c r="G38" s="91"/>
    </row>
    <row r="39" ht="14.25" customHeight="1">
      <c r="B39" s="91"/>
      <c r="D39" s="91"/>
      <c r="E39" s="91"/>
      <c r="F39" s="91"/>
      <c r="G39" s="91"/>
    </row>
    <row r="40" ht="14.25" customHeight="1">
      <c r="B40" s="91"/>
      <c r="D40" s="91"/>
      <c r="E40" s="91"/>
      <c r="F40" s="91"/>
      <c r="G40" s="91"/>
    </row>
    <row r="41" ht="14.25" customHeight="1">
      <c r="B41" s="91"/>
      <c r="D41" s="91"/>
      <c r="E41" s="91"/>
      <c r="F41" s="91"/>
      <c r="G41" s="91"/>
    </row>
    <row r="42" ht="14.25" customHeight="1">
      <c r="B42" s="91"/>
      <c r="D42" s="91"/>
      <c r="E42" s="91"/>
      <c r="F42" s="91"/>
      <c r="G42" s="91"/>
    </row>
    <row r="43" ht="14.25" customHeight="1">
      <c r="B43" s="91"/>
      <c r="D43" s="91"/>
      <c r="E43" s="91"/>
      <c r="F43" s="91"/>
      <c r="G43" s="91"/>
    </row>
    <row r="44" ht="14.25" customHeight="1">
      <c r="B44" s="91"/>
      <c r="D44" s="91"/>
      <c r="E44" s="91"/>
      <c r="F44" s="91"/>
      <c r="G44" s="91"/>
    </row>
    <row r="45" ht="14.25" customHeight="1">
      <c r="B45" s="91"/>
      <c r="D45" s="91"/>
      <c r="E45" s="91"/>
      <c r="F45" s="91"/>
      <c r="G45" s="91"/>
    </row>
    <row r="46" ht="14.25" customHeight="1">
      <c r="B46" s="91"/>
      <c r="D46" s="91"/>
      <c r="E46" s="91"/>
      <c r="F46" s="91"/>
      <c r="G46" s="91"/>
    </row>
    <row r="47" ht="14.25" customHeight="1">
      <c r="B47" s="91"/>
      <c r="D47" s="91"/>
      <c r="E47" s="91"/>
      <c r="F47" s="91"/>
      <c r="G47" s="91"/>
    </row>
    <row r="48" ht="14.25" customHeight="1">
      <c r="B48" s="91"/>
      <c r="D48" s="91"/>
      <c r="E48" s="91"/>
      <c r="F48" s="91"/>
      <c r="G48" s="91"/>
    </row>
    <row r="49" ht="14.25" customHeight="1">
      <c r="B49" s="91"/>
      <c r="D49" s="91"/>
      <c r="E49" s="91"/>
      <c r="F49" s="91"/>
      <c r="G49" s="91"/>
    </row>
    <row r="50" ht="14.25" customHeight="1">
      <c r="B50" s="91"/>
      <c r="D50" s="91"/>
      <c r="E50" s="91"/>
      <c r="F50" s="91"/>
      <c r="G50" s="91"/>
    </row>
    <row r="51" ht="14.25" customHeight="1">
      <c r="B51" s="91"/>
      <c r="D51" s="91"/>
      <c r="E51" s="91"/>
      <c r="F51" s="91"/>
      <c r="G51" s="91"/>
    </row>
    <row r="52" ht="14.25" customHeight="1">
      <c r="B52" s="91"/>
      <c r="D52" s="91"/>
      <c r="E52" s="91"/>
      <c r="F52" s="91"/>
      <c r="G52" s="91"/>
    </row>
    <row r="53" ht="14.25" customHeight="1">
      <c r="B53" s="91"/>
      <c r="D53" s="91"/>
      <c r="E53" s="91"/>
      <c r="F53" s="91"/>
      <c r="G53" s="91"/>
    </row>
    <row r="54" ht="14.25" customHeight="1">
      <c r="B54" s="91"/>
      <c r="D54" s="91"/>
      <c r="E54" s="91"/>
      <c r="F54" s="91"/>
      <c r="G54" s="91"/>
    </row>
    <row r="55" ht="14.25" customHeight="1">
      <c r="B55" s="91"/>
      <c r="D55" s="91"/>
      <c r="E55" s="91"/>
      <c r="F55" s="91"/>
      <c r="G55" s="91"/>
    </row>
    <row r="56" ht="14.25" customHeight="1">
      <c r="B56" s="91"/>
      <c r="D56" s="91"/>
      <c r="E56" s="91"/>
      <c r="F56" s="91"/>
      <c r="G56" s="91"/>
    </row>
    <row r="57" ht="14.25" customHeight="1">
      <c r="B57" s="91"/>
      <c r="D57" s="91"/>
      <c r="E57" s="91"/>
      <c r="F57" s="91"/>
      <c r="G57" s="91"/>
    </row>
    <row r="58" ht="14.25" customHeight="1">
      <c r="B58" s="91"/>
      <c r="D58" s="91"/>
      <c r="E58" s="91"/>
      <c r="F58" s="91"/>
      <c r="G58" s="91"/>
    </row>
    <row r="59" ht="14.25" customHeight="1">
      <c r="B59" s="91"/>
      <c r="D59" s="91"/>
      <c r="E59" s="91"/>
      <c r="F59" s="91"/>
      <c r="G59" s="91"/>
    </row>
    <row r="60" ht="14.25" customHeight="1">
      <c r="B60" s="91"/>
      <c r="D60" s="91"/>
      <c r="E60" s="91"/>
      <c r="F60" s="91"/>
      <c r="G60" s="91"/>
    </row>
    <row r="61" ht="14.25" customHeight="1">
      <c r="B61" s="91"/>
      <c r="D61" s="91"/>
      <c r="E61" s="91"/>
      <c r="F61" s="91"/>
      <c r="G61" s="91"/>
    </row>
    <row r="62" ht="14.25" customHeight="1">
      <c r="B62" s="91"/>
      <c r="D62" s="91"/>
      <c r="E62" s="91"/>
      <c r="F62" s="91"/>
      <c r="G62" s="91"/>
    </row>
    <row r="63" ht="14.25" customHeight="1">
      <c r="B63" s="91"/>
      <c r="D63" s="91"/>
      <c r="E63" s="91"/>
      <c r="F63" s="91"/>
      <c r="G63" s="91"/>
    </row>
    <row r="64" ht="14.25" customHeight="1">
      <c r="B64" s="91"/>
      <c r="D64" s="91"/>
      <c r="E64" s="91"/>
      <c r="F64" s="91"/>
      <c r="G64" s="91"/>
    </row>
    <row r="65" ht="14.25" customHeight="1">
      <c r="B65" s="91"/>
      <c r="D65" s="91"/>
      <c r="E65" s="91"/>
      <c r="F65" s="91"/>
      <c r="G65" s="91"/>
    </row>
    <row r="66" ht="14.25" customHeight="1">
      <c r="B66" s="91"/>
      <c r="D66" s="91"/>
      <c r="E66" s="91"/>
      <c r="F66" s="91"/>
      <c r="G66" s="91"/>
    </row>
    <row r="67" ht="14.25" customHeight="1">
      <c r="B67" s="91"/>
      <c r="D67" s="91"/>
      <c r="E67" s="91"/>
      <c r="F67" s="91"/>
      <c r="G67" s="91"/>
    </row>
    <row r="68" ht="14.25" customHeight="1">
      <c r="B68" s="91"/>
      <c r="D68" s="91"/>
      <c r="E68" s="91"/>
      <c r="F68" s="91"/>
      <c r="G68" s="91"/>
    </row>
    <row r="69" ht="14.25" customHeight="1">
      <c r="B69" s="91"/>
      <c r="D69" s="91"/>
      <c r="E69" s="91"/>
      <c r="F69" s="91"/>
      <c r="G69" s="91"/>
    </row>
    <row r="70" ht="14.25" customHeight="1">
      <c r="B70" s="91"/>
      <c r="D70" s="91"/>
      <c r="E70" s="91"/>
      <c r="F70" s="91"/>
      <c r="G70" s="91"/>
    </row>
    <row r="71" ht="14.25" customHeight="1">
      <c r="B71" s="91"/>
      <c r="D71" s="91"/>
      <c r="E71" s="91"/>
      <c r="F71" s="91"/>
      <c r="G71" s="91"/>
    </row>
    <row r="72" ht="14.25" customHeight="1">
      <c r="B72" s="91"/>
      <c r="D72" s="91"/>
      <c r="E72" s="91"/>
      <c r="F72" s="91"/>
      <c r="G72" s="91"/>
    </row>
    <row r="73" ht="14.25" customHeight="1">
      <c r="B73" s="91"/>
      <c r="D73" s="91"/>
      <c r="E73" s="91"/>
      <c r="F73" s="91"/>
      <c r="G73" s="91"/>
    </row>
    <row r="74" ht="14.25" customHeight="1">
      <c r="B74" s="91"/>
      <c r="D74" s="91"/>
      <c r="E74" s="91"/>
      <c r="F74" s="91"/>
      <c r="G74" s="91"/>
    </row>
    <row r="75" ht="14.25" customHeight="1">
      <c r="B75" s="91"/>
      <c r="D75" s="91"/>
      <c r="E75" s="91"/>
      <c r="F75" s="91"/>
      <c r="G75" s="91"/>
    </row>
    <row r="76" ht="14.25" customHeight="1">
      <c r="B76" s="91"/>
      <c r="D76" s="91"/>
      <c r="E76" s="91"/>
      <c r="F76" s="91"/>
      <c r="G76" s="91"/>
    </row>
    <row r="77" ht="14.25" customHeight="1">
      <c r="B77" s="91"/>
      <c r="D77" s="91"/>
      <c r="E77" s="91"/>
      <c r="F77" s="91"/>
      <c r="G77" s="91"/>
    </row>
    <row r="78" ht="14.25" customHeight="1">
      <c r="B78" s="91"/>
      <c r="D78" s="91"/>
      <c r="E78" s="91"/>
      <c r="F78" s="91"/>
      <c r="G78" s="91"/>
    </row>
    <row r="79" ht="14.25" customHeight="1">
      <c r="B79" s="91"/>
      <c r="D79" s="91"/>
      <c r="E79" s="91"/>
      <c r="F79" s="91"/>
      <c r="G79" s="91"/>
    </row>
    <row r="80" ht="14.25" customHeight="1">
      <c r="B80" s="91"/>
      <c r="D80" s="91"/>
      <c r="E80" s="91"/>
      <c r="F80" s="91"/>
      <c r="G80" s="91"/>
    </row>
    <row r="81" ht="14.25" customHeight="1">
      <c r="B81" s="91"/>
      <c r="D81" s="91"/>
      <c r="E81" s="91"/>
      <c r="F81" s="91"/>
      <c r="G81" s="91"/>
    </row>
    <row r="82" ht="14.25" customHeight="1">
      <c r="B82" s="91"/>
      <c r="D82" s="91"/>
      <c r="E82" s="91"/>
      <c r="F82" s="91"/>
      <c r="G82" s="91"/>
    </row>
    <row r="83" ht="14.25" customHeight="1">
      <c r="B83" s="91"/>
      <c r="D83" s="91"/>
      <c r="E83" s="91"/>
      <c r="F83" s="91"/>
      <c r="G83" s="91"/>
    </row>
    <row r="84" ht="14.25" customHeight="1">
      <c r="B84" s="91"/>
      <c r="D84" s="91"/>
      <c r="E84" s="91"/>
      <c r="F84" s="91"/>
      <c r="G84" s="91"/>
    </row>
    <row r="85" ht="14.25" customHeight="1">
      <c r="B85" s="91"/>
      <c r="D85" s="91"/>
      <c r="E85" s="91"/>
      <c r="F85" s="91"/>
      <c r="G85" s="91"/>
    </row>
    <row r="86" ht="14.25" customHeight="1">
      <c r="B86" s="91"/>
      <c r="D86" s="91"/>
      <c r="E86" s="91"/>
      <c r="F86" s="91"/>
      <c r="G86" s="91"/>
    </row>
    <row r="87" ht="14.25" customHeight="1">
      <c r="B87" s="91"/>
      <c r="D87" s="91"/>
      <c r="E87" s="91"/>
      <c r="F87" s="91"/>
      <c r="G87" s="91"/>
    </row>
    <row r="88" ht="14.25" customHeight="1">
      <c r="B88" s="91"/>
      <c r="D88" s="91"/>
      <c r="E88" s="91"/>
      <c r="F88" s="91"/>
      <c r="G88" s="91"/>
    </row>
    <row r="89" ht="14.25" customHeight="1">
      <c r="B89" s="91"/>
      <c r="D89" s="91"/>
      <c r="E89" s="91"/>
      <c r="F89" s="91"/>
      <c r="G89" s="91"/>
    </row>
    <row r="90" ht="14.25" customHeight="1">
      <c r="B90" s="91"/>
      <c r="D90" s="91"/>
      <c r="E90" s="91"/>
      <c r="F90" s="91"/>
      <c r="G90" s="91"/>
    </row>
    <row r="91" ht="14.25" customHeight="1">
      <c r="B91" s="91"/>
      <c r="D91" s="91"/>
      <c r="E91" s="91"/>
      <c r="F91" s="91"/>
      <c r="G91" s="91"/>
    </row>
    <row r="92" ht="14.25" customHeight="1">
      <c r="B92" s="91"/>
      <c r="D92" s="91"/>
      <c r="E92" s="91"/>
      <c r="F92" s="91"/>
      <c r="G92" s="91"/>
    </row>
    <row r="93" ht="14.25" customHeight="1">
      <c r="B93" s="91"/>
      <c r="D93" s="91"/>
      <c r="E93" s="91"/>
      <c r="F93" s="91"/>
      <c r="G93" s="91"/>
    </row>
    <row r="94" ht="14.25" customHeight="1">
      <c r="B94" s="91"/>
      <c r="D94" s="91"/>
      <c r="E94" s="91"/>
      <c r="F94" s="91"/>
      <c r="G94" s="91"/>
    </row>
    <row r="95" ht="14.25" customHeight="1">
      <c r="B95" s="91"/>
      <c r="D95" s="91"/>
      <c r="E95" s="91"/>
      <c r="F95" s="91"/>
      <c r="G95" s="91"/>
    </row>
    <row r="96" ht="14.25" customHeight="1">
      <c r="B96" s="91"/>
      <c r="D96" s="91"/>
      <c r="E96" s="91"/>
      <c r="F96" s="91"/>
      <c r="G96" s="91"/>
    </row>
    <row r="97" ht="14.25" customHeight="1">
      <c r="B97" s="91"/>
      <c r="D97" s="91"/>
      <c r="E97" s="91"/>
      <c r="F97" s="91"/>
      <c r="G97" s="91"/>
    </row>
    <row r="98" ht="14.25" customHeight="1">
      <c r="B98" s="91"/>
      <c r="D98" s="91"/>
      <c r="E98" s="91"/>
      <c r="F98" s="91"/>
      <c r="G98" s="91"/>
    </row>
    <row r="99" ht="14.25" customHeight="1">
      <c r="B99" s="91"/>
      <c r="D99" s="91"/>
      <c r="E99" s="91"/>
      <c r="F99" s="91"/>
      <c r="G99" s="91"/>
    </row>
    <row r="100" ht="14.25" customHeight="1">
      <c r="B100" s="91"/>
      <c r="D100" s="91"/>
      <c r="E100" s="91"/>
      <c r="F100" s="91"/>
      <c r="G100" s="91"/>
    </row>
  </sheetData>
  <mergeCells count="51">
    <mergeCell ref="S10:V10"/>
    <mergeCell ref="N10:P10"/>
    <mergeCell ref="AC2:AH2"/>
    <mergeCell ref="AG3:AH3"/>
    <mergeCell ref="N13:P13"/>
    <mergeCell ref="Q13:S13"/>
    <mergeCell ref="N12:S12"/>
    <mergeCell ref="W2:AB2"/>
    <mergeCell ref="O3:P3"/>
    <mergeCell ref="U3:V3"/>
    <mergeCell ref="AA3:AB3"/>
    <mergeCell ref="Q2:V2"/>
    <mergeCell ref="G26:H26"/>
    <mergeCell ref="G27:H27"/>
    <mergeCell ref="G21:H21"/>
    <mergeCell ref="G22:H22"/>
    <mergeCell ref="G23:H23"/>
    <mergeCell ref="G24:H24"/>
    <mergeCell ref="G25:H25"/>
    <mergeCell ref="G20:H20"/>
    <mergeCell ref="G18:H18"/>
    <mergeCell ref="N18:P18"/>
    <mergeCell ref="Q18:S18"/>
    <mergeCell ref="G19:H19"/>
    <mergeCell ref="N19:P19"/>
    <mergeCell ref="Q19:S19"/>
    <mergeCell ref="G14:H14"/>
    <mergeCell ref="N14:P14"/>
    <mergeCell ref="E17:L17"/>
    <mergeCell ref="E15:L15"/>
    <mergeCell ref="M15:T15"/>
    <mergeCell ref="E16:L16"/>
    <mergeCell ref="M16:T17"/>
    <mergeCell ref="G13:H13"/>
    <mergeCell ref="Q14:S14"/>
    <mergeCell ref="A10:B10"/>
    <mergeCell ref="F10:K10"/>
    <mergeCell ref="A4:C4"/>
    <mergeCell ref="G3:H3"/>
    <mergeCell ref="I3:J3"/>
    <mergeCell ref="A1:V1"/>
    <mergeCell ref="A2:C2"/>
    <mergeCell ref="D2:J2"/>
    <mergeCell ref="K2:P2"/>
    <mergeCell ref="A13:B13"/>
    <mergeCell ref="A11:B11"/>
    <mergeCell ref="G11:H11"/>
    <mergeCell ref="A12:B12"/>
    <mergeCell ref="G12:H12"/>
    <mergeCell ref="A5:A6"/>
    <mergeCell ref="A7:A9"/>
  </mergeCells>
  <conditionalFormatting sqref="I5:I9 O5:O9 U5:U9 AA5:AA9">
    <cfRule type="cellIs" dxfId="11" priority="1" operator="greaterThan">
      <formula>0.74</formula>
    </cfRule>
  </conditionalFormatting>
  <conditionalFormatting sqref="I5:I9 O5:O9 U5:U9 AA5:AA9">
    <cfRule type="cellIs" dxfId="9" priority="2" operator="greaterThan">
      <formula>0.5</formula>
    </cfRule>
  </conditionalFormatting>
  <conditionalFormatting sqref="I5:I9 O5:O9 U5:U9 AA5:AA9">
    <cfRule type="cellIs" dxfId="10" priority="3" operator="lessThan">
      <formula>0.5</formula>
    </cfRule>
  </conditionalFormatting>
  <conditionalFormatting sqref="I5:I9">
    <cfRule type="cellIs" dxfId="9" priority="4" operator="between">
      <formula>0.5</formula>
      <formula>0.74</formula>
    </cfRule>
  </conditionalFormatting>
  <conditionalFormatting sqref="I5:I9">
    <cfRule type="cellIs" dxfId="12" priority="5" operator="between">
      <formula>0</formula>
      <formula>0.49</formula>
    </cfRule>
  </conditionalFormatting>
  <conditionalFormatting sqref="I5:I9">
    <cfRule type="colorScale" priority="6">
      <colorScale>
        <cfvo type="percent" val="0-50"/>
        <cfvo type="percent" val="75-100"/>
        <color rgb="FF9CC2E5"/>
        <color rgb="FFFFEF9C"/>
      </colorScale>
    </cfRule>
  </conditionalFormatting>
  <conditionalFormatting sqref="I7:I9">
    <cfRule type="colorScale" priority="7">
      <colorScale>
        <cfvo type="percent" val="0-50"/>
        <cfvo type="percent" val="75-100"/>
        <color rgb="FFBDD6EE"/>
        <color/>
      </colorScale>
    </cfRule>
  </conditionalFormatting>
  <conditionalFormatting sqref="O5:O9">
    <cfRule type="cellIs" dxfId="10" priority="8" operator="lessThan">
      <formula>0.5</formula>
    </cfRule>
  </conditionalFormatting>
  <conditionalFormatting sqref="O5:O9">
    <cfRule type="colorScale" priority="9">
      <colorScale>
        <cfvo type="percent" val="0-50"/>
        <cfvo type="percent" val="75-100"/>
        <color rgb="FF9CC2E5"/>
        <color rgb="FFFFEF9C"/>
      </colorScale>
    </cfRule>
  </conditionalFormatting>
  <conditionalFormatting sqref="O7:O9">
    <cfRule type="colorScale" priority="10">
      <colorScale>
        <cfvo type="percent" val="0-50"/>
        <cfvo type="percent" val="75-100"/>
        <color rgb="FFBDD6EE"/>
        <color/>
      </colorScale>
    </cfRule>
  </conditionalFormatting>
  <conditionalFormatting sqref="U5:U9">
    <cfRule type="colorScale" priority="11">
      <colorScale>
        <cfvo type="percent" val="0-50"/>
        <cfvo type="percent" val="75-100"/>
        <color rgb="FF9CC2E5"/>
        <color rgb="FFFFEF9C"/>
      </colorScale>
    </cfRule>
  </conditionalFormatting>
  <conditionalFormatting sqref="U7:U9">
    <cfRule type="colorScale" priority="12">
      <colorScale>
        <cfvo type="percent" val="0-50"/>
        <cfvo type="percent" val="75-100"/>
        <color rgb="FFBDD6EE"/>
        <color/>
      </colorScale>
    </cfRule>
  </conditionalFormatting>
  <conditionalFormatting sqref="AA5:AA9">
    <cfRule type="colorScale" priority="13">
      <colorScale>
        <cfvo type="percent" val="0-50"/>
        <cfvo type="percent" val="75-100"/>
        <color rgb="FF9CC2E5"/>
        <color rgb="FFFFEF9C"/>
      </colorScale>
    </cfRule>
  </conditionalFormatting>
  <conditionalFormatting sqref="AA7:AA9">
    <cfRule type="colorScale" priority="14">
      <colorScale>
        <cfvo type="percent" val="0-50"/>
        <cfvo type="percent" val="75-100"/>
        <color rgb="FFBDD6EE"/>
        <color/>
      </colorScale>
    </cfRule>
  </conditionalFormatting>
  <conditionalFormatting sqref="AG5:AG9">
    <cfRule type="cellIs" dxfId="11" priority="15" operator="greaterThan">
      <formula>0.74</formula>
    </cfRule>
  </conditionalFormatting>
  <conditionalFormatting sqref="AG5:AG9">
    <cfRule type="cellIs" dxfId="9" priority="16" operator="greaterThan">
      <formula>0.5</formula>
    </cfRule>
  </conditionalFormatting>
  <conditionalFormatting sqref="AG5:AG9">
    <cfRule type="cellIs" dxfId="10" priority="17" operator="lessThan">
      <formula>0.5</formula>
    </cfRule>
  </conditionalFormatting>
  <conditionalFormatting sqref="AG5:AG9">
    <cfRule type="colorScale" priority="18">
      <colorScale>
        <cfvo type="percent" val="0-50"/>
        <cfvo type="percent" val="75-100"/>
        <color rgb="FF9CC2E5"/>
        <color rgb="FFFFEF9C"/>
      </colorScale>
    </cfRule>
  </conditionalFormatting>
  <conditionalFormatting sqref="AG7:AG9">
    <cfRule type="colorScale" priority="19">
      <colorScale>
        <cfvo type="percent" val="0-50"/>
        <cfvo type="percent" val="75-100"/>
        <color rgb="FFBDD6EE"/>
        <color/>
      </colorScale>
    </cfRule>
  </conditionalFormatting>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4"/>
    <col customWidth="1" min="2" max="2" width="9.57"/>
    <col customWidth="1" min="3" max="3" width="19.14"/>
    <col customWidth="1" min="4" max="4" width="16.43"/>
    <col customWidth="1" min="5" max="5" width="7.14"/>
    <col customWidth="1" min="6" max="6" width="7.43"/>
    <col customWidth="1" min="7" max="7" width="7.57"/>
    <col customWidth="1" min="8" max="8" width="8.14"/>
    <col customWidth="1" min="9" max="9" width="9.86"/>
    <col customWidth="1" min="10" max="10" width="8.57"/>
    <col customWidth="1" min="11" max="11" width="6.43"/>
    <col customWidth="1" min="12" max="12" width="6.0"/>
    <col customWidth="1" min="13" max="13" width="7.0"/>
    <col customWidth="1" min="14" max="14" width="7.43"/>
    <col customWidth="1" min="15" max="15" width="7.57"/>
    <col customWidth="1" min="16" max="16" width="5.57"/>
    <col customWidth="1" min="17" max="17" width="6.14"/>
    <col customWidth="1" min="18" max="18" width="5.86"/>
    <col customWidth="1" min="19" max="19" width="6.43"/>
    <col customWidth="1" min="20" max="20" width="7.43"/>
    <col customWidth="1" min="21" max="21" width="6.57"/>
    <col customWidth="1" min="22" max="22" width="5.57"/>
    <col customWidth="1" min="23" max="23" width="6.43"/>
    <col customWidth="1" min="24" max="24" width="5.43"/>
    <col customWidth="1" min="25" max="25" width="6.43"/>
    <col customWidth="1" min="26" max="26" width="7.14"/>
    <col customWidth="1" min="27" max="27" width="5.86"/>
    <col customWidth="1" min="28" max="28" width="6.43"/>
    <col customWidth="1" min="29" max="40" width="9.0"/>
  </cols>
  <sheetData>
    <row r="1" ht="14.25" customHeight="1">
      <c r="A1" s="208" t="s">
        <v>182</v>
      </c>
      <c r="B1" s="101"/>
      <c r="C1" s="101"/>
      <c r="D1" s="101"/>
      <c r="E1" s="101"/>
      <c r="F1" s="101"/>
      <c r="G1" s="101"/>
      <c r="H1" s="101"/>
      <c r="I1" s="101"/>
      <c r="J1" s="101"/>
      <c r="K1" s="101"/>
      <c r="L1" s="101"/>
      <c r="M1" s="101"/>
      <c r="N1" s="101"/>
      <c r="O1" s="101"/>
      <c r="P1" s="101"/>
      <c r="Q1" s="101"/>
      <c r="R1" s="101"/>
      <c r="S1" s="101"/>
      <c r="T1" s="101"/>
      <c r="U1" s="101"/>
      <c r="V1" s="102"/>
      <c r="W1" s="209"/>
      <c r="X1" s="209"/>
      <c r="Y1" s="209"/>
      <c r="Z1" s="209"/>
      <c r="AA1" s="209"/>
      <c r="AB1" s="209"/>
      <c r="AC1" s="209"/>
      <c r="AD1" s="209"/>
      <c r="AE1" s="209"/>
      <c r="AF1" s="209"/>
      <c r="AG1" s="209"/>
      <c r="AH1" s="209"/>
      <c r="AI1" s="209"/>
      <c r="AJ1" s="209"/>
      <c r="AK1" s="209"/>
      <c r="AL1" s="209"/>
      <c r="AM1" s="209"/>
      <c r="AN1" s="209"/>
    </row>
    <row r="2" ht="14.25" customHeight="1">
      <c r="A2" s="210"/>
      <c r="B2" s="2"/>
      <c r="C2" s="3"/>
      <c r="D2" s="210" t="s">
        <v>1</v>
      </c>
      <c r="E2" s="2"/>
      <c r="F2" s="2"/>
      <c r="G2" s="2"/>
      <c r="H2" s="2"/>
      <c r="I2" s="2"/>
      <c r="J2" s="3"/>
      <c r="K2" s="210" t="s">
        <v>2</v>
      </c>
      <c r="L2" s="2"/>
      <c r="M2" s="2"/>
      <c r="N2" s="2"/>
      <c r="O2" s="2"/>
      <c r="P2" s="3"/>
      <c r="Q2" s="210" t="s">
        <v>3</v>
      </c>
      <c r="R2" s="2"/>
      <c r="S2" s="2"/>
      <c r="T2" s="2"/>
      <c r="U2" s="2"/>
      <c r="V2" s="3"/>
      <c r="W2" s="210" t="s">
        <v>206</v>
      </c>
      <c r="X2" s="2"/>
      <c r="Y2" s="2"/>
      <c r="Z2" s="2"/>
      <c r="AA2" s="2"/>
      <c r="AB2" s="3"/>
      <c r="AC2" s="210" t="s">
        <v>170</v>
      </c>
      <c r="AD2" s="2"/>
      <c r="AE2" s="2"/>
      <c r="AF2" s="2"/>
      <c r="AG2" s="2"/>
      <c r="AH2" s="3"/>
      <c r="AI2" s="210" t="s">
        <v>207</v>
      </c>
      <c r="AJ2" s="2"/>
      <c r="AK2" s="2"/>
      <c r="AL2" s="2"/>
      <c r="AM2" s="2"/>
      <c r="AN2" s="3"/>
    </row>
    <row r="3" ht="14.25" customHeight="1">
      <c r="A3" s="211" t="s">
        <v>33</v>
      </c>
      <c r="B3" s="212" t="s">
        <v>34</v>
      </c>
      <c r="C3" s="212" t="s">
        <v>35</v>
      </c>
      <c r="D3" s="212" t="s">
        <v>97</v>
      </c>
      <c r="E3" s="212" t="s">
        <v>38</v>
      </c>
      <c r="F3" s="212" t="s">
        <v>39</v>
      </c>
      <c r="G3" s="210" t="s">
        <v>40</v>
      </c>
      <c r="H3" s="3"/>
      <c r="I3" s="210" t="s">
        <v>41</v>
      </c>
      <c r="J3" s="3"/>
      <c r="K3" s="211" t="s">
        <v>38</v>
      </c>
      <c r="L3" s="211" t="s">
        <v>39</v>
      </c>
      <c r="M3" s="211" t="s">
        <v>40</v>
      </c>
      <c r="N3" s="211"/>
      <c r="O3" s="210" t="s">
        <v>41</v>
      </c>
      <c r="P3" s="3"/>
      <c r="Q3" s="211" t="s">
        <v>38</v>
      </c>
      <c r="R3" s="211" t="s">
        <v>39</v>
      </c>
      <c r="S3" s="211" t="s">
        <v>40</v>
      </c>
      <c r="T3" s="211"/>
      <c r="U3" s="210" t="s">
        <v>41</v>
      </c>
      <c r="V3" s="3"/>
      <c r="W3" s="211" t="s">
        <v>38</v>
      </c>
      <c r="X3" s="211" t="s">
        <v>39</v>
      </c>
      <c r="Y3" s="211" t="s">
        <v>40</v>
      </c>
      <c r="Z3" s="211"/>
      <c r="AA3" s="210" t="s">
        <v>41</v>
      </c>
      <c r="AB3" s="3"/>
      <c r="AC3" s="212" t="s">
        <v>38</v>
      </c>
      <c r="AD3" s="212" t="s">
        <v>39</v>
      </c>
      <c r="AE3" s="210" t="s">
        <v>40</v>
      </c>
      <c r="AF3" s="3"/>
      <c r="AG3" s="210" t="s">
        <v>41</v>
      </c>
      <c r="AH3" s="3"/>
      <c r="AI3" s="211" t="s">
        <v>38</v>
      </c>
      <c r="AJ3" s="211" t="s">
        <v>39</v>
      </c>
      <c r="AK3" s="211" t="s">
        <v>40</v>
      </c>
      <c r="AL3" s="211"/>
      <c r="AM3" s="210" t="s">
        <v>41</v>
      </c>
      <c r="AN3" s="3"/>
    </row>
    <row r="4" ht="14.25" customHeight="1">
      <c r="A4" s="213" t="s">
        <v>208</v>
      </c>
      <c r="B4" s="2"/>
      <c r="C4" s="3"/>
      <c r="D4" s="212"/>
      <c r="E4" s="212"/>
      <c r="F4" s="212"/>
      <c r="G4" s="212"/>
      <c r="H4" s="211" t="s">
        <v>37</v>
      </c>
      <c r="I4" s="212" t="s">
        <v>38</v>
      </c>
      <c r="J4" s="212" t="s">
        <v>39</v>
      </c>
      <c r="K4" s="211"/>
      <c r="L4" s="211"/>
      <c r="M4" s="211"/>
      <c r="N4" s="211" t="s">
        <v>37</v>
      </c>
      <c r="O4" s="212" t="s">
        <v>38</v>
      </c>
      <c r="P4" s="212" t="s">
        <v>39</v>
      </c>
      <c r="Q4" s="211"/>
      <c r="R4" s="211"/>
      <c r="S4" s="211"/>
      <c r="T4" s="211" t="s">
        <v>37</v>
      </c>
      <c r="U4" s="212" t="s">
        <v>38</v>
      </c>
      <c r="V4" s="212" t="s">
        <v>39</v>
      </c>
      <c r="W4" s="211"/>
      <c r="X4" s="211"/>
      <c r="Y4" s="211"/>
      <c r="Z4" s="211" t="s">
        <v>37</v>
      </c>
      <c r="AA4" s="212" t="s">
        <v>38</v>
      </c>
      <c r="AB4" s="212" t="s">
        <v>39</v>
      </c>
      <c r="AC4" s="212"/>
      <c r="AD4" s="212"/>
      <c r="AE4" s="212"/>
      <c r="AF4" s="211" t="s">
        <v>37</v>
      </c>
      <c r="AG4" s="212" t="s">
        <v>38</v>
      </c>
      <c r="AH4" s="212" t="s">
        <v>39</v>
      </c>
      <c r="AI4" s="211"/>
      <c r="AJ4" s="211"/>
      <c r="AK4" s="211"/>
      <c r="AL4" s="211" t="s">
        <v>37</v>
      </c>
      <c r="AM4" s="212" t="s">
        <v>38</v>
      </c>
      <c r="AN4" s="212" t="s">
        <v>39</v>
      </c>
    </row>
    <row r="5" ht="14.25" customHeight="1">
      <c r="A5" s="214" t="s">
        <v>209</v>
      </c>
      <c r="B5" s="214" t="s">
        <v>210</v>
      </c>
      <c r="C5" s="214" t="s">
        <v>211</v>
      </c>
      <c r="D5" s="214">
        <v>29.0</v>
      </c>
      <c r="E5" s="214">
        <v>18.0</v>
      </c>
      <c r="F5" s="214">
        <v>7.0</v>
      </c>
      <c r="G5" s="215">
        <v>25.0</v>
      </c>
      <c r="H5" s="214">
        <v>4.0</v>
      </c>
      <c r="I5" s="216" t="str">
        <f t="shared" ref="I5:I9" si="1">E5/G5</f>
        <v>72%</v>
      </c>
      <c r="J5" s="217" t="str">
        <f t="shared" ref="J5:J9" si="2">F5/G5</f>
        <v>28%</v>
      </c>
      <c r="K5" s="183">
        <v>17.0</v>
      </c>
      <c r="L5" s="183">
        <v>5.0</v>
      </c>
      <c r="M5" s="218">
        <v>22.0</v>
      </c>
      <c r="N5" s="183">
        <v>7.0</v>
      </c>
      <c r="O5" s="216" t="str">
        <f t="shared" ref="O5:O9" si="3">K5/M5</f>
        <v>77%</v>
      </c>
      <c r="P5" s="217" t="str">
        <f t="shared" ref="P5:P9" si="4">L5/M5</f>
        <v>23%</v>
      </c>
      <c r="Q5" s="214">
        <v>15.0</v>
      </c>
      <c r="R5" s="214">
        <v>7.0</v>
      </c>
      <c r="S5" s="214">
        <v>22.0</v>
      </c>
      <c r="T5" s="214">
        <v>7.0</v>
      </c>
      <c r="U5" s="216" t="str">
        <f t="shared" ref="U5:U9" si="5">Q5/S5</f>
        <v>68%</v>
      </c>
      <c r="V5" s="219" t="str">
        <f t="shared" ref="V5:V9" si="6">R5/S5</f>
        <v>32%</v>
      </c>
      <c r="W5" s="214">
        <v>1.0</v>
      </c>
      <c r="X5" s="214">
        <v>24.0</v>
      </c>
      <c r="Y5" s="214">
        <v>25.0</v>
      </c>
      <c r="Z5" s="214">
        <v>4.0</v>
      </c>
      <c r="AA5" s="216" t="str">
        <f t="shared" ref="AA5:AA9" si="7">W5/Y5</f>
        <v>4%</v>
      </c>
      <c r="AB5" s="217" t="str">
        <f t="shared" ref="AB5:AB9" si="8">X5/Y5</f>
        <v>96%</v>
      </c>
      <c r="AC5" s="214">
        <v>6.0</v>
      </c>
      <c r="AD5" s="214">
        <v>18.0</v>
      </c>
      <c r="AE5" s="215">
        <v>24.0</v>
      </c>
      <c r="AF5" s="214">
        <v>5.0</v>
      </c>
      <c r="AG5" s="216" t="str">
        <f t="shared" ref="AG5:AG9" si="9">AC5/AE5</f>
        <v>25%</v>
      </c>
      <c r="AH5" s="217" t="str">
        <f t="shared" ref="AH5:AH9" si="10">AD5/AE5</f>
        <v>75%</v>
      </c>
      <c r="AI5" s="214">
        <v>18.0</v>
      </c>
      <c r="AJ5" s="214">
        <v>4.0</v>
      </c>
      <c r="AK5" s="215">
        <v>22.0</v>
      </c>
      <c r="AL5" s="214">
        <v>7.0</v>
      </c>
      <c r="AM5" s="216" t="str">
        <f t="shared" ref="AM5:AM9" si="11">AI5/AK5</f>
        <v>82%</v>
      </c>
      <c r="AN5" s="217" t="str">
        <f t="shared" ref="AN5:AN9" si="12">AJ5/AK5</f>
        <v>18%</v>
      </c>
    </row>
    <row r="6" ht="14.25" customHeight="1">
      <c r="A6" s="220" t="s">
        <v>212</v>
      </c>
      <c r="B6" s="183" t="s">
        <v>213</v>
      </c>
      <c r="C6" s="183" t="s">
        <v>214</v>
      </c>
      <c r="D6" s="183">
        <v>32.0</v>
      </c>
      <c r="E6" s="183">
        <v>23.0</v>
      </c>
      <c r="F6" s="183">
        <v>9.0</v>
      </c>
      <c r="G6" s="183">
        <v>32.0</v>
      </c>
      <c r="H6" s="183">
        <v>0.0</v>
      </c>
      <c r="I6" s="216" t="str">
        <f t="shared" si="1"/>
        <v>72%</v>
      </c>
      <c r="J6" s="217" t="str">
        <f t="shared" si="2"/>
        <v>28%</v>
      </c>
      <c r="K6" s="183">
        <v>21.0</v>
      </c>
      <c r="L6" s="183">
        <v>11.0</v>
      </c>
      <c r="M6" s="183">
        <v>32.0</v>
      </c>
      <c r="N6" s="183">
        <v>0.0</v>
      </c>
      <c r="O6" s="216" t="str">
        <f t="shared" si="3"/>
        <v>66%</v>
      </c>
      <c r="P6" s="217" t="str">
        <f t="shared" si="4"/>
        <v>34%</v>
      </c>
      <c r="Q6" s="183">
        <v>23.0</v>
      </c>
      <c r="R6" s="183">
        <v>9.0</v>
      </c>
      <c r="S6" s="183">
        <v>32.0</v>
      </c>
      <c r="T6" s="183">
        <v>0.0</v>
      </c>
      <c r="U6" s="216" t="str">
        <f t="shared" si="5"/>
        <v>72%</v>
      </c>
      <c r="V6" s="219" t="str">
        <f t="shared" si="6"/>
        <v>28%</v>
      </c>
      <c r="W6" s="183">
        <v>20.0</v>
      </c>
      <c r="X6" s="183">
        <v>12.0</v>
      </c>
      <c r="Y6" s="183">
        <v>32.0</v>
      </c>
      <c r="Z6" s="183">
        <v>0.0</v>
      </c>
      <c r="AA6" s="216" t="str">
        <f t="shared" si="7"/>
        <v>63%</v>
      </c>
      <c r="AB6" s="217" t="str">
        <f t="shared" si="8"/>
        <v>38%</v>
      </c>
      <c r="AC6" s="183">
        <v>20.0</v>
      </c>
      <c r="AD6" s="183">
        <v>12.0</v>
      </c>
      <c r="AE6" s="183">
        <v>32.0</v>
      </c>
      <c r="AF6" s="183">
        <v>0.0</v>
      </c>
      <c r="AG6" s="216" t="str">
        <f t="shared" si="9"/>
        <v>63%</v>
      </c>
      <c r="AH6" s="217" t="str">
        <f t="shared" si="10"/>
        <v>38%</v>
      </c>
      <c r="AI6" s="183">
        <v>26.0</v>
      </c>
      <c r="AJ6" s="183">
        <v>6.0</v>
      </c>
      <c r="AK6" s="214">
        <v>32.0</v>
      </c>
      <c r="AL6" s="183">
        <v>0.0</v>
      </c>
      <c r="AM6" s="216" t="str">
        <f t="shared" si="11"/>
        <v>81%</v>
      </c>
      <c r="AN6" s="217" t="str">
        <f t="shared" si="12"/>
        <v>19%</v>
      </c>
    </row>
    <row r="7" ht="14.25" customHeight="1">
      <c r="A7" s="221" t="s">
        <v>215</v>
      </c>
      <c r="B7" s="183" t="s">
        <v>101</v>
      </c>
      <c r="C7" s="183" t="s">
        <v>216</v>
      </c>
      <c r="D7" s="183">
        <v>25.0</v>
      </c>
      <c r="E7" s="183">
        <v>17.0</v>
      </c>
      <c r="F7" s="183">
        <v>4.0</v>
      </c>
      <c r="G7" s="183">
        <v>21.0</v>
      </c>
      <c r="H7" s="183">
        <v>9.0</v>
      </c>
      <c r="I7" s="216" t="str">
        <f t="shared" si="1"/>
        <v>81%</v>
      </c>
      <c r="J7" s="217" t="str">
        <f t="shared" si="2"/>
        <v>19%</v>
      </c>
      <c r="K7" s="183">
        <v>13.0</v>
      </c>
      <c r="L7" s="183">
        <v>8.0</v>
      </c>
      <c r="M7" s="183">
        <v>21.0</v>
      </c>
      <c r="N7" s="183">
        <v>4.0</v>
      </c>
      <c r="O7" s="216" t="str">
        <f t="shared" si="3"/>
        <v>62%</v>
      </c>
      <c r="P7" s="217" t="str">
        <f t="shared" si="4"/>
        <v>38%</v>
      </c>
      <c r="Q7" s="183">
        <v>15.0</v>
      </c>
      <c r="R7" s="183">
        <v>8.0</v>
      </c>
      <c r="S7" s="183">
        <v>23.0</v>
      </c>
      <c r="T7" s="183">
        <v>2.0</v>
      </c>
      <c r="U7" s="216" t="str">
        <f t="shared" si="5"/>
        <v>65%</v>
      </c>
      <c r="V7" s="219" t="str">
        <f t="shared" si="6"/>
        <v>35%</v>
      </c>
      <c r="W7" s="183">
        <v>8.0</v>
      </c>
      <c r="X7" s="183">
        <v>10.0</v>
      </c>
      <c r="Y7" s="183">
        <v>18.0</v>
      </c>
      <c r="Z7" s="183">
        <v>7.0</v>
      </c>
      <c r="AA7" s="216" t="str">
        <f t="shared" si="7"/>
        <v>44%</v>
      </c>
      <c r="AB7" s="217" t="str">
        <f t="shared" si="8"/>
        <v>56%</v>
      </c>
      <c r="AC7" s="183">
        <v>17.0</v>
      </c>
      <c r="AD7" s="183">
        <v>5.0</v>
      </c>
      <c r="AE7" s="183">
        <v>20.0</v>
      </c>
      <c r="AF7" s="183">
        <v>3.0</v>
      </c>
      <c r="AG7" s="216" t="str">
        <f t="shared" si="9"/>
        <v>85%</v>
      </c>
      <c r="AH7" s="217" t="str">
        <f t="shared" si="10"/>
        <v>25%</v>
      </c>
      <c r="AI7" s="183">
        <v>9.0</v>
      </c>
      <c r="AJ7" s="183">
        <v>10.0</v>
      </c>
      <c r="AK7" s="214">
        <v>19.0</v>
      </c>
      <c r="AL7" s="183">
        <v>6.0</v>
      </c>
      <c r="AM7" s="216" t="str">
        <f t="shared" si="11"/>
        <v>47%</v>
      </c>
      <c r="AN7" s="217" t="str">
        <f t="shared" si="12"/>
        <v>53%</v>
      </c>
    </row>
    <row r="8" ht="14.25" customHeight="1">
      <c r="A8" s="58"/>
      <c r="B8" s="183" t="s">
        <v>103</v>
      </c>
      <c r="C8" s="183" t="s">
        <v>217</v>
      </c>
      <c r="D8" s="183">
        <v>26.0</v>
      </c>
      <c r="E8" s="183">
        <v>11.0</v>
      </c>
      <c r="F8" s="183">
        <v>9.0</v>
      </c>
      <c r="G8" s="183">
        <v>20.0</v>
      </c>
      <c r="H8" s="183">
        <v>6.0</v>
      </c>
      <c r="I8" s="216" t="str">
        <f t="shared" si="1"/>
        <v>55%</v>
      </c>
      <c r="J8" s="217" t="str">
        <f t="shared" si="2"/>
        <v>45%</v>
      </c>
      <c r="K8" s="183">
        <v>8.0</v>
      </c>
      <c r="L8" s="183">
        <v>11.0</v>
      </c>
      <c r="M8" s="183">
        <v>19.0</v>
      </c>
      <c r="N8" s="183">
        <v>7.0</v>
      </c>
      <c r="O8" s="216" t="str">
        <f t="shared" si="3"/>
        <v>42%</v>
      </c>
      <c r="P8" s="217" t="str">
        <f t="shared" si="4"/>
        <v>58%</v>
      </c>
      <c r="Q8" s="183">
        <v>21.0</v>
      </c>
      <c r="R8" s="183">
        <v>3.0</v>
      </c>
      <c r="S8" s="183">
        <v>24.0</v>
      </c>
      <c r="T8" s="183">
        <v>2.0</v>
      </c>
      <c r="U8" s="216" t="str">
        <f t="shared" si="5"/>
        <v>88%</v>
      </c>
      <c r="V8" s="219" t="str">
        <f t="shared" si="6"/>
        <v>13%</v>
      </c>
      <c r="W8" s="183">
        <v>10.0</v>
      </c>
      <c r="X8" s="183">
        <v>9.0</v>
      </c>
      <c r="Y8" s="183">
        <v>19.0</v>
      </c>
      <c r="Z8" s="183">
        <v>7.0</v>
      </c>
      <c r="AA8" s="216" t="str">
        <f t="shared" si="7"/>
        <v>53%</v>
      </c>
      <c r="AB8" s="217" t="str">
        <f t="shared" si="8"/>
        <v>47%</v>
      </c>
      <c r="AC8" s="183">
        <v>16.0</v>
      </c>
      <c r="AD8" s="183">
        <v>5.0</v>
      </c>
      <c r="AE8" s="183">
        <v>21.0</v>
      </c>
      <c r="AF8" s="183">
        <v>5.0</v>
      </c>
      <c r="AG8" s="216" t="str">
        <f t="shared" si="9"/>
        <v>76%</v>
      </c>
      <c r="AH8" s="217" t="str">
        <f t="shared" si="10"/>
        <v>24%</v>
      </c>
      <c r="AI8" s="183">
        <v>7.0</v>
      </c>
      <c r="AJ8" s="183">
        <v>7.0</v>
      </c>
      <c r="AK8" s="214">
        <v>14.0</v>
      </c>
      <c r="AL8" s="183">
        <v>12.0</v>
      </c>
      <c r="AM8" s="216" t="str">
        <f t="shared" si="11"/>
        <v>50%</v>
      </c>
      <c r="AN8" s="217" t="str">
        <f t="shared" si="12"/>
        <v>50%</v>
      </c>
    </row>
    <row r="9" ht="14.25" customHeight="1">
      <c r="A9" s="71"/>
      <c r="B9" s="183" t="s">
        <v>218</v>
      </c>
      <c r="C9" s="183" t="s">
        <v>219</v>
      </c>
      <c r="D9" s="183">
        <v>25.0</v>
      </c>
      <c r="E9" s="183">
        <v>7.0</v>
      </c>
      <c r="F9" s="183">
        <v>14.0</v>
      </c>
      <c r="G9" s="183">
        <v>22.0</v>
      </c>
      <c r="H9" s="214">
        <v>4.0</v>
      </c>
      <c r="I9" s="216" t="str">
        <f t="shared" si="1"/>
        <v>32%</v>
      </c>
      <c r="J9" s="217" t="str">
        <f t="shared" si="2"/>
        <v>64%</v>
      </c>
      <c r="K9" s="183">
        <v>6.0</v>
      </c>
      <c r="L9" s="183">
        <v>17.0</v>
      </c>
      <c r="M9" s="183">
        <v>24.0</v>
      </c>
      <c r="N9" s="183">
        <v>2.0</v>
      </c>
      <c r="O9" s="216" t="str">
        <f t="shared" si="3"/>
        <v>25%</v>
      </c>
      <c r="P9" s="217" t="str">
        <f t="shared" si="4"/>
        <v>71%</v>
      </c>
      <c r="Q9" s="214">
        <v>6.0</v>
      </c>
      <c r="R9" s="214">
        <v>17.0</v>
      </c>
      <c r="S9" s="214">
        <v>24.0</v>
      </c>
      <c r="T9" s="214">
        <v>2.0</v>
      </c>
      <c r="U9" s="216" t="str">
        <f t="shared" si="5"/>
        <v>25%</v>
      </c>
      <c r="V9" s="219" t="str">
        <f t="shared" si="6"/>
        <v>71%</v>
      </c>
      <c r="W9" s="214">
        <v>22.0</v>
      </c>
      <c r="X9" s="214">
        <v>11.0</v>
      </c>
      <c r="Y9" s="214">
        <v>24.0</v>
      </c>
      <c r="Z9" s="214">
        <v>2.0</v>
      </c>
      <c r="AA9" s="216" t="str">
        <f t="shared" si="7"/>
        <v>92%</v>
      </c>
      <c r="AB9" s="217" t="str">
        <f t="shared" si="8"/>
        <v>46%</v>
      </c>
      <c r="AC9" s="183">
        <v>5.0</v>
      </c>
      <c r="AD9" s="183">
        <v>18.0</v>
      </c>
      <c r="AE9" s="183">
        <v>24.0</v>
      </c>
      <c r="AF9" s="183">
        <v>2.0</v>
      </c>
      <c r="AG9" s="216" t="str">
        <f t="shared" si="9"/>
        <v>21%</v>
      </c>
      <c r="AH9" s="217" t="str">
        <f t="shared" si="10"/>
        <v>75%</v>
      </c>
      <c r="AI9" s="183">
        <v>6.0</v>
      </c>
      <c r="AJ9" s="183">
        <v>17.0</v>
      </c>
      <c r="AK9" s="214">
        <v>24.0</v>
      </c>
      <c r="AL9" s="183">
        <v>2.0</v>
      </c>
      <c r="AM9" s="216" t="str">
        <f t="shared" si="11"/>
        <v>25%</v>
      </c>
      <c r="AN9" s="217" t="str">
        <f t="shared" si="12"/>
        <v>71%</v>
      </c>
    </row>
    <row r="10" ht="12.0" customHeight="1">
      <c r="A10" s="222" t="s">
        <v>112</v>
      </c>
      <c r="B10" s="110"/>
      <c r="C10" s="223" t="s">
        <v>113</v>
      </c>
      <c r="D10" s="223" t="s">
        <v>64</v>
      </c>
      <c r="E10" s="224"/>
      <c r="F10" s="225"/>
      <c r="L10" s="209"/>
      <c r="M10" s="209"/>
      <c r="N10" s="225"/>
      <c r="Q10" s="209"/>
      <c r="R10" s="209"/>
      <c r="S10" s="226"/>
      <c r="W10" s="209"/>
      <c r="X10" s="209"/>
      <c r="Y10" s="209"/>
      <c r="Z10" s="209"/>
      <c r="AA10" s="209"/>
      <c r="AB10" s="209"/>
      <c r="AC10" s="209"/>
      <c r="AD10" s="209"/>
      <c r="AE10" s="209"/>
      <c r="AF10" s="209"/>
      <c r="AG10" s="209"/>
      <c r="AH10" s="209"/>
      <c r="AI10" s="209"/>
      <c r="AJ10" s="209"/>
      <c r="AK10" s="209"/>
      <c r="AL10" s="209"/>
      <c r="AM10" s="209"/>
      <c r="AN10" s="209"/>
    </row>
    <row r="11" ht="12.75" customHeight="1">
      <c r="A11" s="184" t="s">
        <v>160</v>
      </c>
      <c r="B11" s="3"/>
      <c r="C11" s="183" t="s">
        <v>66</v>
      </c>
      <c r="D11" s="227" t="s">
        <v>67</v>
      </c>
      <c r="E11" s="183"/>
      <c r="F11" s="225"/>
      <c r="G11" s="226"/>
      <c r="I11" s="226"/>
      <c r="J11" s="226"/>
      <c r="K11" s="226"/>
      <c r="L11" s="209"/>
      <c r="M11" s="209"/>
      <c r="N11" s="225"/>
      <c r="O11" s="225"/>
      <c r="P11" s="209"/>
      <c r="Q11" s="209"/>
      <c r="R11" s="209"/>
      <c r="S11" s="226"/>
      <c r="T11" s="226"/>
      <c r="U11" s="226"/>
      <c r="V11" s="226"/>
      <c r="W11" s="209"/>
      <c r="X11" s="209"/>
      <c r="Y11" s="209"/>
      <c r="Z11" s="209"/>
      <c r="AA11" s="209"/>
      <c r="AB11" s="209"/>
      <c r="AC11" s="209"/>
      <c r="AD11" s="209"/>
      <c r="AE11" s="209"/>
      <c r="AF11" s="209"/>
      <c r="AG11" s="209"/>
      <c r="AH11" s="209"/>
      <c r="AI11" s="209"/>
      <c r="AJ11" s="209"/>
      <c r="AK11" s="209"/>
      <c r="AL11" s="209"/>
      <c r="AM11" s="209"/>
      <c r="AN11" s="209"/>
    </row>
    <row r="12" ht="14.25" customHeight="1">
      <c r="A12" s="184" t="s">
        <v>68</v>
      </c>
      <c r="B12" s="3"/>
      <c r="C12" s="183" t="s">
        <v>69</v>
      </c>
      <c r="D12" s="228" t="s">
        <v>70</v>
      </c>
      <c r="E12" s="183"/>
      <c r="F12" s="226"/>
      <c r="G12" s="229"/>
      <c r="I12" s="230"/>
      <c r="J12" s="230"/>
      <c r="K12" s="230"/>
      <c r="L12" s="209"/>
      <c r="M12" s="209"/>
      <c r="N12" s="226"/>
      <c r="T12" s="226"/>
      <c r="U12" s="226"/>
      <c r="V12" s="226"/>
      <c r="W12" s="209"/>
      <c r="X12" s="209"/>
      <c r="Y12" s="209"/>
      <c r="Z12" s="209"/>
      <c r="AA12" s="209"/>
      <c r="AB12" s="209"/>
      <c r="AC12" s="209"/>
      <c r="AD12" s="209"/>
      <c r="AE12" s="209"/>
      <c r="AF12" s="209"/>
      <c r="AG12" s="209"/>
      <c r="AH12" s="209"/>
      <c r="AI12" s="209"/>
      <c r="AJ12" s="209"/>
      <c r="AK12" s="209"/>
      <c r="AL12" s="209"/>
      <c r="AM12" s="209"/>
      <c r="AN12" s="209"/>
    </row>
    <row r="13" ht="13.5" customHeight="1">
      <c r="A13" s="184" t="s">
        <v>117</v>
      </c>
      <c r="B13" s="3"/>
      <c r="C13" s="183" t="s">
        <v>72</v>
      </c>
      <c r="D13" s="231" t="s">
        <v>73</v>
      </c>
      <c r="E13" s="183"/>
      <c r="F13" s="232"/>
      <c r="G13" s="232"/>
      <c r="I13" s="230"/>
      <c r="J13" s="230"/>
      <c r="K13" s="230"/>
      <c r="L13" s="209"/>
      <c r="M13" s="209"/>
      <c r="N13" s="226"/>
      <c r="Q13" s="230"/>
      <c r="T13" s="233"/>
      <c r="U13" s="232"/>
      <c r="V13" s="234"/>
      <c r="W13" s="209"/>
      <c r="X13" s="209"/>
      <c r="Y13" s="209"/>
      <c r="Z13" s="209"/>
      <c r="AA13" s="209"/>
      <c r="AB13" s="209"/>
      <c r="AC13" s="209"/>
      <c r="AD13" s="209"/>
      <c r="AE13" s="209"/>
      <c r="AF13" s="209"/>
      <c r="AG13" s="209"/>
      <c r="AH13" s="209"/>
      <c r="AI13" s="209"/>
      <c r="AJ13" s="209"/>
      <c r="AK13" s="209"/>
      <c r="AL13" s="209"/>
      <c r="AM13" s="209"/>
      <c r="AN13" s="209"/>
    </row>
    <row r="14" ht="14.25" customHeight="1">
      <c r="B14" s="91"/>
      <c r="D14" s="91"/>
      <c r="E14" s="91"/>
      <c r="F14" s="91"/>
      <c r="G14" s="79"/>
      <c r="I14" s="91"/>
      <c r="J14" s="91"/>
      <c r="K14" s="91"/>
      <c r="N14" s="85"/>
      <c r="Q14" s="91"/>
      <c r="T14" s="146"/>
      <c r="U14" s="79"/>
      <c r="V14" s="146"/>
    </row>
    <row r="15" ht="15.0" customHeight="1">
      <c r="A15" s="126" t="s">
        <v>33</v>
      </c>
      <c r="B15" s="126" t="s">
        <v>74</v>
      </c>
      <c r="C15" s="126" t="s">
        <v>75</v>
      </c>
      <c r="D15" s="126" t="s">
        <v>35</v>
      </c>
      <c r="E15" s="125" t="s">
        <v>76</v>
      </c>
      <c r="F15" s="2"/>
      <c r="G15" s="2"/>
      <c r="H15" s="2"/>
      <c r="I15" s="2"/>
      <c r="J15" s="2"/>
      <c r="K15" s="2"/>
      <c r="L15" s="3"/>
      <c r="M15" s="180" t="s">
        <v>77</v>
      </c>
      <c r="N15" s="2"/>
      <c r="O15" s="2"/>
      <c r="P15" s="2"/>
      <c r="Q15" s="2"/>
      <c r="R15" s="2"/>
      <c r="S15" s="2"/>
      <c r="T15" s="3"/>
      <c r="V15" s="148"/>
    </row>
    <row r="16" ht="75.75" customHeight="1">
      <c r="A16" s="34" t="s">
        <v>220</v>
      </c>
      <c r="B16" s="35" t="s">
        <v>221</v>
      </c>
      <c r="C16" s="235" t="s">
        <v>203</v>
      </c>
      <c r="D16" s="214" t="s">
        <v>211</v>
      </c>
      <c r="E16" s="100" t="s">
        <v>222</v>
      </c>
      <c r="F16" s="101"/>
      <c r="G16" s="101"/>
      <c r="H16" s="101"/>
      <c r="I16" s="101"/>
      <c r="J16" s="101"/>
      <c r="K16" s="101"/>
      <c r="L16" s="102"/>
      <c r="M16" s="236" t="s">
        <v>223</v>
      </c>
      <c r="N16" s="101"/>
      <c r="O16" s="101"/>
      <c r="P16" s="101"/>
      <c r="Q16" s="101"/>
      <c r="R16" s="101"/>
      <c r="S16" s="101"/>
      <c r="T16" s="102"/>
    </row>
    <row r="17" ht="38.25" customHeight="1">
      <c r="A17" s="34" t="s">
        <v>224</v>
      </c>
      <c r="B17" s="58"/>
      <c r="C17" s="58"/>
      <c r="D17" s="183" t="s">
        <v>214</v>
      </c>
      <c r="E17" s="104"/>
      <c r="L17" s="105"/>
      <c r="M17" s="104"/>
      <c r="T17" s="105"/>
    </row>
    <row r="18" ht="41.25" customHeight="1">
      <c r="A18" s="34" t="s">
        <v>225</v>
      </c>
      <c r="B18" s="71"/>
      <c r="C18" s="71"/>
      <c r="D18" s="237" t="s">
        <v>226</v>
      </c>
      <c r="E18" s="108"/>
      <c r="F18" s="109"/>
      <c r="G18" s="109"/>
      <c r="H18" s="109"/>
      <c r="I18" s="109"/>
      <c r="J18" s="109"/>
      <c r="K18" s="109"/>
      <c r="L18" s="110"/>
      <c r="M18" s="108"/>
      <c r="N18" s="109"/>
      <c r="O18" s="109"/>
      <c r="P18" s="109"/>
      <c r="Q18" s="109"/>
      <c r="R18" s="109"/>
      <c r="S18" s="109"/>
      <c r="T18" s="110"/>
    </row>
    <row r="19" ht="14.25" customHeight="1">
      <c r="B19" s="91"/>
      <c r="D19" s="183"/>
      <c r="E19" s="91"/>
      <c r="F19" s="91"/>
      <c r="G19" s="91"/>
      <c r="J19" s="91"/>
      <c r="N19" s="84"/>
      <c r="Q19" s="91"/>
    </row>
    <row r="20" ht="14.25" customHeight="1">
      <c r="B20" s="91"/>
      <c r="D20" s="91"/>
      <c r="E20" s="91"/>
      <c r="F20" s="127"/>
      <c r="G20" s="91"/>
      <c r="I20" s="91"/>
      <c r="J20" s="91"/>
      <c r="K20" s="91"/>
      <c r="N20" s="84"/>
      <c r="Q20" s="91"/>
    </row>
    <row r="21" ht="14.25" customHeight="1">
      <c r="B21" s="91"/>
      <c r="D21" s="91"/>
      <c r="E21" s="91"/>
      <c r="F21" s="91"/>
      <c r="G21" s="91"/>
      <c r="I21" s="91"/>
      <c r="J21" s="91"/>
      <c r="K21" s="91"/>
    </row>
    <row r="22" ht="14.25" customHeight="1">
      <c r="B22" s="91"/>
      <c r="D22" s="91"/>
      <c r="E22" s="91"/>
      <c r="F22" s="91"/>
      <c r="G22" s="91"/>
      <c r="I22" s="91"/>
      <c r="J22" s="91"/>
      <c r="K22" s="91"/>
    </row>
    <row r="23" ht="14.25" customHeight="1">
      <c r="B23" s="91"/>
      <c r="D23" s="91"/>
      <c r="E23" s="91"/>
      <c r="F23" s="145"/>
      <c r="G23" s="91"/>
      <c r="J23" s="91"/>
    </row>
    <row r="24" ht="14.25" customHeight="1">
      <c r="B24" s="91"/>
      <c r="D24" s="91"/>
      <c r="E24" s="91"/>
      <c r="F24" s="145"/>
      <c r="G24" s="91"/>
      <c r="J24" s="91"/>
    </row>
    <row r="25" ht="14.25" customHeight="1">
      <c r="B25" s="91"/>
      <c r="D25" s="91"/>
      <c r="E25" s="91"/>
      <c r="F25" s="145"/>
      <c r="G25" s="91"/>
      <c r="J25" s="91"/>
    </row>
    <row r="26" ht="30.0" customHeight="1">
      <c r="F26" s="191"/>
      <c r="G26" s="90"/>
    </row>
    <row r="27" ht="14.25" customHeight="1">
      <c r="G27" s="91"/>
    </row>
    <row r="28" ht="14.25" customHeight="1">
      <c r="G28" s="91"/>
    </row>
    <row r="29" ht="14.25" customHeight="1">
      <c r="B29" s="91"/>
      <c r="D29" s="91"/>
      <c r="E29" s="91"/>
      <c r="F29" s="91"/>
      <c r="G29" s="91"/>
    </row>
    <row r="30" ht="14.25" customHeight="1">
      <c r="B30" s="91"/>
      <c r="D30" s="91"/>
      <c r="E30" s="91"/>
      <c r="F30" s="91"/>
      <c r="G30" s="91"/>
    </row>
    <row r="31" ht="14.25" customHeight="1">
      <c r="B31" s="91"/>
      <c r="D31" s="91"/>
      <c r="E31" s="91"/>
      <c r="F31" s="91"/>
      <c r="G31" s="91"/>
    </row>
    <row r="32" ht="14.25" customHeight="1">
      <c r="B32" s="91"/>
      <c r="D32" s="91"/>
      <c r="E32" s="91"/>
      <c r="F32" s="91"/>
      <c r="G32" s="91"/>
    </row>
    <row r="33" ht="14.25" customHeight="1">
      <c r="B33" s="91"/>
      <c r="D33" s="91"/>
      <c r="E33" s="91"/>
      <c r="F33" s="91"/>
      <c r="G33" s="91"/>
    </row>
    <row r="34" ht="14.25" customHeight="1">
      <c r="B34" s="91"/>
      <c r="D34" s="91"/>
      <c r="E34" s="91"/>
      <c r="F34" s="91"/>
      <c r="G34" s="91"/>
    </row>
    <row r="35" ht="14.25" customHeight="1">
      <c r="B35" s="91"/>
      <c r="D35" s="91"/>
      <c r="E35" s="91"/>
      <c r="F35" s="91"/>
      <c r="G35" s="91"/>
    </row>
    <row r="36" ht="14.25" customHeight="1">
      <c r="B36" s="91"/>
      <c r="D36" s="91"/>
      <c r="E36" s="91"/>
      <c r="F36" s="91"/>
      <c r="G36" s="91"/>
    </row>
    <row r="37" ht="14.25" customHeight="1">
      <c r="B37" s="91"/>
      <c r="D37" s="91"/>
      <c r="E37" s="91"/>
      <c r="F37" s="91"/>
      <c r="G37" s="91"/>
    </row>
    <row r="38" ht="14.25" customHeight="1">
      <c r="B38" s="91"/>
      <c r="D38" s="91"/>
      <c r="E38" s="91"/>
      <c r="F38" s="91"/>
      <c r="G38" s="91"/>
    </row>
    <row r="39" ht="14.25" customHeight="1">
      <c r="B39" s="91"/>
      <c r="D39" s="91"/>
      <c r="E39" s="91"/>
      <c r="F39" s="91"/>
      <c r="G39" s="91"/>
    </row>
    <row r="40" ht="14.25" customHeight="1">
      <c r="B40" s="91"/>
      <c r="D40" s="91"/>
      <c r="E40" s="91"/>
      <c r="F40" s="91"/>
      <c r="G40" s="91"/>
    </row>
    <row r="41" ht="14.25" customHeight="1">
      <c r="B41" s="91"/>
      <c r="D41" s="91"/>
      <c r="E41" s="91"/>
      <c r="F41" s="91"/>
      <c r="G41" s="91"/>
    </row>
    <row r="42" ht="14.25" customHeight="1">
      <c r="B42" s="91"/>
      <c r="D42" s="91"/>
      <c r="E42" s="91"/>
      <c r="F42" s="91"/>
      <c r="G42" s="91"/>
    </row>
    <row r="43" ht="14.25" customHeight="1">
      <c r="B43" s="91"/>
      <c r="D43" s="91"/>
      <c r="E43" s="91"/>
      <c r="F43" s="91"/>
      <c r="G43" s="91"/>
    </row>
    <row r="44" ht="14.25" customHeight="1">
      <c r="B44" s="91"/>
      <c r="D44" s="91"/>
      <c r="E44" s="91"/>
      <c r="F44" s="91"/>
      <c r="G44" s="91"/>
    </row>
    <row r="45" ht="14.25" customHeight="1">
      <c r="B45" s="91"/>
      <c r="D45" s="91"/>
      <c r="E45" s="91"/>
      <c r="F45" s="91"/>
      <c r="G45" s="91"/>
    </row>
    <row r="46" ht="14.25" customHeight="1">
      <c r="B46" s="91"/>
      <c r="D46" s="91"/>
      <c r="E46" s="91"/>
      <c r="F46" s="91"/>
      <c r="G46" s="91"/>
    </row>
    <row r="47" ht="14.25" customHeight="1">
      <c r="B47" s="91"/>
      <c r="D47" s="91"/>
      <c r="E47" s="91"/>
      <c r="F47" s="91"/>
      <c r="G47" s="91"/>
    </row>
    <row r="48" ht="14.25" customHeight="1">
      <c r="B48" s="91"/>
      <c r="D48" s="91"/>
      <c r="E48" s="91"/>
      <c r="F48" s="91"/>
      <c r="G48" s="91"/>
    </row>
    <row r="49" ht="14.25" customHeight="1">
      <c r="B49" s="91"/>
      <c r="D49" s="91"/>
      <c r="E49" s="91"/>
      <c r="F49" s="91"/>
      <c r="G49" s="91"/>
    </row>
    <row r="50" ht="14.25" customHeight="1">
      <c r="B50" s="91"/>
      <c r="D50" s="91"/>
      <c r="E50" s="91"/>
      <c r="F50" s="91"/>
      <c r="G50" s="91"/>
    </row>
    <row r="51" ht="14.25" customHeight="1">
      <c r="B51" s="91"/>
      <c r="D51" s="91"/>
      <c r="E51" s="91"/>
      <c r="F51" s="91"/>
      <c r="G51" s="91"/>
    </row>
    <row r="52" ht="14.25" customHeight="1">
      <c r="B52" s="91"/>
      <c r="D52" s="91"/>
      <c r="E52" s="91"/>
      <c r="F52" s="91"/>
      <c r="G52" s="91"/>
    </row>
    <row r="53" ht="14.25" customHeight="1">
      <c r="B53" s="91"/>
      <c r="D53" s="91"/>
      <c r="E53" s="91"/>
      <c r="F53" s="91"/>
      <c r="G53" s="91"/>
    </row>
    <row r="54" ht="14.25" customHeight="1">
      <c r="B54" s="91"/>
      <c r="D54" s="91"/>
      <c r="E54" s="91"/>
      <c r="F54" s="91"/>
      <c r="G54" s="91"/>
    </row>
    <row r="55" ht="14.25" customHeight="1">
      <c r="B55" s="91"/>
      <c r="D55" s="91"/>
      <c r="E55" s="91"/>
      <c r="F55" s="91"/>
      <c r="G55" s="91"/>
    </row>
    <row r="56" ht="14.25" customHeight="1">
      <c r="B56" s="91"/>
      <c r="D56" s="91"/>
      <c r="E56" s="91"/>
      <c r="F56" s="91"/>
      <c r="G56" s="91"/>
    </row>
    <row r="57" ht="14.25" customHeight="1">
      <c r="B57" s="91"/>
      <c r="D57" s="91"/>
      <c r="E57" s="91"/>
      <c r="F57" s="91"/>
      <c r="G57" s="91"/>
    </row>
    <row r="58" ht="14.25" customHeight="1">
      <c r="B58" s="91"/>
      <c r="D58" s="91"/>
      <c r="E58" s="91"/>
      <c r="F58" s="91"/>
      <c r="G58" s="91"/>
    </row>
    <row r="59" ht="14.25" customHeight="1">
      <c r="B59" s="91"/>
      <c r="D59" s="91"/>
      <c r="E59" s="91"/>
      <c r="F59" s="91"/>
      <c r="G59" s="91"/>
    </row>
    <row r="60" ht="14.25" customHeight="1">
      <c r="B60" s="91"/>
      <c r="D60" s="91"/>
      <c r="E60" s="91"/>
      <c r="F60" s="91"/>
      <c r="G60" s="91"/>
    </row>
    <row r="61" ht="14.25" customHeight="1">
      <c r="B61" s="91"/>
      <c r="D61" s="91"/>
      <c r="E61" s="91"/>
      <c r="F61" s="91"/>
      <c r="G61" s="91"/>
    </row>
    <row r="62" ht="14.25" customHeight="1">
      <c r="B62" s="91"/>
      <c r="D62" s="91"/>
      <c r="E62" s="91"/>
      <c r="F62" s="91"/>
      <c r="G62" s="91"/>
    </row>
    <row r="63" ht="14.25" customHeight="1">
      <c r="B63" s="91"/>
      <c r="D63" s="91"/>
      <c r="E63" s="91"/>
      <c r="F63" s="91"/>
      <c r="G63" s="91"/>
    </row>
    <row r="64" ht="14.25" customHeight="1">
      <c r="B64" s="91"/>
      <c r="D64" s="91"/>
      <c r="E64" s="91"/>
      <c r="F64" s="91"/>
      <c r="G64" s="91"/>
    </row>
    <row r="65" ht="14.25" customHeight="1">
      <c r="B65" s="91"/>
      <c r="D65" s="91"/>
      <c r="E65" s="91"/>
      <c r="F65" s="91"/>
      <c r="G65" s="91"/>
    </row>
    <row r="66" ht="14.25" customHeight="1">
      <c r="B66" s="91"/>
      <c r="D66" s="91"/>
      <c r="E66" s="91"/>
      <c r="F66" s="91"/>
      <c r="G66" s="91"/>
    </row>
    <row r="67" ht="14.25" customHeight="1">
      <c r="B67" s="91"/>
      <c r="D67" s="91"/>
      <c r="E67" s="91"/>
      <c r="F67" s="91"/>
      <c r="G67" s="91"/>
    </row>
    <row r="68" ht="14.25" customHeight="1">
      <c r="B68" s="91"/>
      <c r="D68" s="91"/>
      <c r="E68" s="91"/>
      <c r="F68" s="91"/>
      <c r="G68" s="91"/>
    </row>
    <row r="69" ht="14.25" customHeight="1">
      <c r="B69" s="91"/>
      <c r="D69" s="91"/>
      <c r="E69" s="91"/>
      <c r="F69" s="91"/>
      <c r="G69" s="91"/>
    </row>
    <row r="70" ht="14.25" customHeight="1">
      <c r="B70" s="91"/>
      <c r="D70" s="91"/>
      <c r="E70" s="91"/>
      <c r="F70" s="91"/>
      <c r="G70" s="91"/>
    </row>
    <row r="71" ht="14.25" customHeight="1">
      <c r="B71" s="91"/>
      <c r="D71" s="91"/>
      <c r="E71" s="91"/>
      <c r="F71" s="91"/>
      <c r="G71" s="91"/>
    </row>
    <row r="72" ht="14.25" customHeight="1">
      <c r="B72" s="91"/>
      <c r="D72" s="91"/>
      <c r="E72" s="91"/>
      <c r="F72" s="91"/>
      <c r="G72" s="91"/>
    </row>
    <row r="73" ht="14.25" customHeight="1">
      <c r="B73" s="91"/>
      <c r="D73" s="91"/>
      <c r="E73" s="91"/>
      <c r="F73" s="91"/>
      <c r="G73" s="91"/>
    </row>
    <row r="74" ht="14.25" customHeight="1">
      <c r="B74" s="91"/>
      <c r="D74" s="91"/>
      <c r="E74" s="91"/>
      <c r="F74" s="91"/>
      <c r="G74" s="91"/>
    </row>
    <row r="75" ht="14.25" customHeight="1">
      <c r="B75" s="91"/>
      <c r="D75" s="91"/>
      <c r="E75" s="91"/>
      <c r="F75" s="91"/>
      <c r="G75" s="91"/>
    </row>
    <row r="76" ht="14.25" customHeight="1">
      <c r="B76" s="91"/>
      <c r="D76" s="91"/>
      <c r="E76" s="91"/>
      <c r="F76" s="91"/>
      <c r="G76" s="91"/>
    </row>
    <row r="77" ht="14.25" customHeight="1">
      <c r="B77" s="91"/>
      <c r="D77" s="91"/>
      <c r="E77" s="91"/>
      <c r="F77" s="91"/>
      <c r="G77" s="91"/>
    </row>
    <row r="78" ht="14.25" customHeight="1">
      <c r="B78" s="91"/>
      <c r="D78" s="91"/>
      <c r="E78" s="91"/>
      <c r="F78" s="91"/>
      <c r="G78" s="91"/>
    </row>
    <row r="79" ht="14.25" customHeight="1">
      <c r="B79" s="91"/>
      <c r="D79" s="91"/>
      <c r="E79" s="91"/>
      <c r="F79" s="91"/>
      <c r="G79" s="91"/>
    </row>
    <row r="80" ht="14.25" customHeight="1">
      <c r="B80" s="91"/>
      <c r="D80" s="91"/>
      <c r="E80" s="91"/>
      <c r="F80" s="91"/>
      <c r="G80" s="91"/>
    </row>
    <row r="81" ht="14.25" customHeight="1">
      <c r="B81" s="91"/>
      <c r="D81" s="91"/>
      <c r="E81" s="91"/>
      <c r="F81" s="91"/>
      <c r="G81" s="91"/>
    </row>
    <row r="82" ht="14.25" customHeight="1">
      <c r="B82" s="91"/>
      <c r="D82" s="91"/>
      <c r="E82" s="91"/>
      <c r="F82" s="91"/>
      <c r="G82" s="91"/>
    </row>
    <row r="83" ht="14.25" customHeight="1">
      <c r="B83" s="91"/>
      <c r="D83" s="91"/>
      <c r="E83" s="91"/>
      <c r="F83" s="91"/>
      <c r="G83" s="91"/>
    </row>
    <row r="84" ht="14.25" customHeight="1">
      <c r="B84" s="91"/>
      <c r="D84" s="91"/>
      <c r="E84" s="91"/>
      <c r="F84" s="91"/>
      <c r="G84" s="91"/>
    </row>
    <row r="85" ht="14.25" customHeight="1">
      <c r="B85" s="91"/>
      <c r="D85" s="91"/>
      <c r="E85" s="91"/>
      <c r="F85" s="91"/>
      <c r="G85" s="91"/>
    </row>
    <row r="86" ht="14.25" customHeight="1">
      <c r="B86" s="91"/>
      <c r="D86" s="91"/>
      <c r="E86" s="91"/>
      <c r="F86" s="91"/>
      <c r="G86" s="91"/>
    </row>
    <row r="87" ht="14.25" customHeight="1">
      <c r="B87" s="91"/>
      <c r="D87" s="91"/>
      <c r="E87" s="91"/>
      <c r="F87" s="91"/>
      <c r="G87" s="91"/>
    </row>
    <row r="88" ht="14.25" customHeight="1">
      <c r="B88" s="91"/>
      <c r="D88" s="91"/>
      <c r="E88" s="91"/>
      <c r="F88" s="91"/>
      <c r="G88" s="91"/>
    </row>
    <row r="89" ht="14.25" customHeight="1">
      <c r="B89" s="91"/>
      <c r="D89" s="91"/>
      <c r="E89" s="91"/>
      <c r="F89" s="91"/>
      <c r="G89" s="91"/>
    </row>
    <row r="90" ht="14.25" customHeight="1">
      <c r="B90" s="91"/>
      <c r="D90" s="91"/>
      <c r="E90" s="91"/>
      <c r="F90" s="91"/>
      <c r="G90" s="91"/>
    </row>
    <row r="91" ht="14.25" customHeight="1">
      <c r="B91" s="91"/>
      <c r="D91" s="91"/>
      <c r="E91" s="91"/>
      <c r="F91" s="91"/>
      <c r="G91" s="91"/>
    </row>
    <row r="92" ht="14.25" customHeight="1">
      <c r="B92" s="91"/>
      <c r="D92" s="91"/>
      <c r="E92" s="91"/>
      <c r="F92" s="91"/>
      <c r="G92" s="91"/>
    </row>
    <row r="93" ht="14.25" customHeight="1">
      <c r="B93" s="91"/>
      <c r="D93" s="91"/>
      <c r="E93" s="91"/>
      <c r="F93" s="91"/>
      <c r="G93" s="91"/>
    </row>
    <row r="94" ht="14.25" customHeight="1">
      <c r="B94" s="91"/>
      <c r="D94" s="91"/>
      <c r="E94" s="91"/>
      <c r="F94" s="91"/>
      <c r="G94" s="91"/>
    </row>
    <row r="95" ht="14.25" customHeight="1">
      <c r="B95" s="91"/>
      <c r="D95" s="91"/>
      <c r="E95" s="91"/>
      <c r="F95" s="91"/>
      <c r="G95" s="91"/>
    </row>
    <row r="96" ht="14.25" customHeight="1">
      <c r="B96" s="91"/>
      <c r="D96" s="91"/>
      <c r="E96" s="91"/>
      <c r="F96" s="91"/>
      <c r="G96" s="91"/>
    </row>
    <row r="97" ht="14.25" customHeight="1">
      <c r="B97" s="91"/>
      <c r="D97" s="91"/>
      <c r="E97" s="91"/>
      <c r="F97" s="91"/>
      <c r="G97" s="91"/>
    </row>
    <row r="98" ht="14.25" customHeight="1">
      <c r="B98" s="91"/>
      <c r="D98" s="91"/>
      <c r="E98" s="91"/>
      <c r="F98" s="91"/>
      <c r="G98" s="91"/>
    </row>
    <row r="99" ht="14.25" customHeight="1">
      <c r="B99" s="91"/>
      <c r="D99" s="91"/>
      <c r="E99" s="91"/>
      <c r="F99" s="91"/>
      <c r="G99" s="91"/>
    </row>
    <row r="100" ht="14.25" customHeight="1">
      <c r="B100" s="91"/>
      <c r="D100" s="91"/>
      <c r="E100" s="91"/>
      <c r="F100" s="91"/>
      <c r="G100" s="91"/>
    </row>
  </sheetData>
  <mergeCells count="54">
    <mergeCell ref="S10:V10"/>
    <mergeCell ref="A12:B12"/>
    <mergeCell ref="G12:H12"/>
    <mergeCell ref="N12:S12"/>
    <mergeCell ref="A7:A9"/>
    <mergeCell ref="A1:V1"/>
    <mergeCell ref="Q2:V2"/>
    <mergeCell ref="U3:V3"/>
    <mergeCell ref="N14:P14"/>
    <mergeCell ref="Q14:S14"/>
    <mergeCell ref="N19:P19"/>
    <mergeCell ref="Q19:S19"/>
    <mergeCell ref="N20:P20"/>
    <mergeCell ref="Q20:S20"/>
    <mergeCell ref="F10:K10"/>
    <mergeCell ref="N10:P10"/>
    <mergeCell ref="E15:L15"/>
    <mergeCell ref="M15:T15"/>
    <mergeCell ref="M16:T18"/>
    <mergeCell ref="G13:H13"/>
    <mergeCell ref="G14:H14"/>
    <mergeCell ref="G21:H21"/>
    <mergeCell ref="G22:H22"/>
    <mergeCell ref="G23:H23"/>
    <mergeCell ref="G24:H24"/>
    <mergeCell ref="G25:H25"/>
    <mergeCell ref="G26:H26"/>
    <mergeCell ref="E16:L18"/>
    <mergeCell ref="B16:B18"/>
    <mergeCell ref="C16:C18"/>
    <mergeCell ref="G19:H19"/>
    <mergeCell ref="G20:H20"/>
    <mergeCell ref="G27:H27"/>
    <mergeCell ref="G28:H28"/>
    <mergeCell ref="A11:B11"/>
    <mergeCell ref="A10:B10"/>
    <mergeCell ref="A13:B13"/>
    <mergeCell ref="AI2:AN2"/>
    <mergeCell ref="AE3:AF3"/>
    <mergeCell ref="AG3:AH3"/>
    <mergeCell ref="AM3:AN3"/>
    <mergeCell ref="AA3:AB3"/>
    <mergeCell ref="AC2:AH2"/>
    <mergeCell ref="A4:C4"/>
    <mergeCell ref="A2:C2"/>
    <mergeCell ref="D2:J2"/>
    <mergeCell ref="K2:P2"/>
    <mergeCell ref="W2:AB2"/>
    <mergeCell ref="G11:H11"/>
    <mergeCell ref="G3:H3"/>
    <mergeCell ref="I3:J3"/>
    <mergeCell ref="O3:P3"/>
    <mergeCell ref="N13:P13"/>
    <mergeCell ref="Q13:S13"/>
  </mergeCells>
  <conditionalFormatting sqref="I5:I9 O5:O9 U5:U9 AA5:AA9 AG5:AG9 AM5:AM9">
    <cfRule type="cellIs" dxfId="11" priority="1" operator="greaterThan">
      <formula>0.74</formula>
    </cfRule>
  </conditionalFormatting>
  <conditionalFormatting sqref="I5:I9 O5:O9 U5:U9 AA5:AA9 AG5:AG9 AM5:AM9">
    <cfRule type="cellIs" dxfId="9" priority="2" operator="greaterThan">
      <formula>0.5</formula>
    </cfRule>
  </conditionalFormatting>
  <conditionalFormatting sqref="I5:I9 O5:O9 U5:U9 AA5:AA9 AG5:AG9 AM5:AM9">
    <cfRule type="cellIs" dxfId="10" priority="3" operator="lessThan">
      <formula>0.5</formula>
    </cfRule>
  </conditionalFormatting>
  <conditionalFormatting sqref="I5:I9">
    <cfRule type="cellIs" dxfId="9" priority="4" operator="between">
      <formula>0.5</formula>
      <formula>0.74</formula>
    </cfRule>
  </conditionalFormatting>
  <conditionalFormatting sqref="I5:I9">
    <cfRule type="cellIs" dxfId="12" priority="5" operator="between">
      <formula>0</formula>
      <formula>0.49</formula>
    </cfRule>
  </conditionalFormatting>
  <conditionalFormatting sqref="I5:I9">
    <cfRule type="colorScale" priority="6">
      <colorScale>
        <cfvo type="percent" val="0-50"/>
        <cfvo type="percent" val="75-100"/>
        <color rgb="FFBDD6EE"/>
        <color/>
      </colorScale>
    </cfRule>
  </conditionalFormatting>
  <conditionalFormatting sqref="I5:I9">
    <cfRule type="colorScale" priority="7">
      <colorScale>
        <cfvo type="percent" val="0-50"/>
        <cfvo type="percent" val="75-100"/>
        <color rgb="FF9CC2E5"/>
        <color rgb="FFFFEF9C"/>
      </colorScale>
    </cfRule>
  </conditionalFormatting>
  <conditionalFormatting sqref="O5:O9">
    <cfRule type="colorScale" priority="8">
      <colorScale>
        <cfvo type="percent" val="0-50"/>
        <cfvo type="percent" val="75-100"/>
        <color rgb="FFBDD6EE"/>
        <color/>
      </colorScale>
    </cfRule>
  </conditionalFormatting>
  <conditionalFormatting sqref="O5:O9">
    <cfRule type="cellIs" dxfId="10" priority="9" operator="lessThan">
      <formula>0.5</formula>
    </cfRule>
  </conditionalFormatting>
  <conditionalFormatting sqref="O5:O9">
    <cfRule type="colorScale" priority="10">
      <colorScale>
        <cfvo type="percent" val="0-50"/>
        <cfvo type="percent" val="75-100"/>
        <color rgb="FF9CC2E5"/>
        <color rgb="FFFFEF9C"/>
      </colorScale>
    </cfRule>
  </conditionalFormatting>
  <conditionalFormatting sqref="U5:U9">
    <cfRule type="colorScale" priority="11">
      <colorScale>
        <cfvo type="percent" val="0-50"/>
        <cfvo type="percent" val="75-100"/>
        <color rgb="FFBDD6EE"/>
        <color/>
      </colorScale>
    </cfRule>
  </conditionalFormatting>
  <conditionalFormatting sqref="U5:U9">
    <cfRule type="colorScale" priority="12">
      <colorScale>
        <cfvo type="percent" val="0-50"/>
        <cfvo type="percent" val="75-100"/>
        <color rgb="FF9CC2E5"/>
        <color rgb="FFFFEF9C"/>
      </colorScale>
    </cfRule>
  </conditionalFormatting>
  <conditionalFormatting sqref="AA5:AA9">
    <cfRule type="colorScale" priority="13">
      <colorScale>
        <cfvo type="percent" val="0-50"/>
        <cfvo type="percent" val="75-100"/>
        <color rgb="FFBDD6EE"/>
        <color/>
      </colorScale>
    </cfRule>
  </conditionalFormatting>
  <conditionalFormatting sqref="AA5:AA9">
    <cfRule type="colorScale" priority="14">
      <colorScale>
        <cfvo type="percent" val="0-50"/>
        <cfvo type="percent" val="75-100"/>
        <color rgb="FF9CC2E5"/>
        <color rgb="FFFFEF9C"/>
      </colorScale>
    </cfRule>
  </conditionalFormatting>
  <conditionalFormatting sqref="AG5:AG9">
    <cfRule type="cellIs" dxfId="9" priority="15" operator="between">
      <formula>0.5</formula>
      <formula>0.74</formula>
    </cfRule>
  </conditionalFormatting>
  <conditionalFormatting sqref="AG5:AG9">
    <cfRule type="cellIs" dxfId="12" priority="16" operator="between">
      <formula>0</formula>
      <formula>0.49</formula>
    </cfRule>
  </conditionalFormatting>
  <conditionalFormatting sqref="AG5:AG9">
    <cfRule type="colorScale" priority="17">
      <colorScale>
        <cfvo type="percent" val="0-50"/>
        <cfvo type="percent" val="75-100"/>
        <color rgb="FFBDD6EE"/>
        <color/>
      </colorScale>
    </cfRule>
  </conditionalFormatting>
  <conditionalFormatting sqref="AG5:AG9">
    <cfRule type="colorScale" priority="18">
      <colorScale>
        <cfvo type="percent" val="0-50"/>
        <cfvo type="percent" val="75-100"/>
        <color rgb="FF9CC2E5"/>
        <color rgb="FFFFEF9C"/>
      </colorScale>
    </cfRule>
  </conditionalFormatting>
  <conditionalFormatting sqref="AM5:AM9">
    <cfRule type="colorScale" priority="19">
      <colorScale>
        <cfvo type="percent" val="0-50"/>
        <cfvo type="percent" val="75-100"/>
        <color rgb="FFBDD6EE"/>
        <color/>
      </colorScale>
    </cfRule>
  </conditionalFormatting>
  <conditionalFormatting sqref="AM5:AM9">
    <cfRule type="cellIs" dxfId="10" priority="20" operator="lessThan">
      <formula>0.5</formula>
    </cfRule>
  </conditionalFormatting>
  <conditionalFormatting sqref="AM5:AM9">
    <cfRule type="colorScale" priority="21">
      <colorScale>
        <cfvo type="percent" val="0-50"/>
        <cfvo type="percent" val="75-100"/>
        <color rgb="FF9CC2E5"/>
        <color rgb="FFFFEF9C"/>
      </colorScale>
    </cfRule>
  </conditionalFormatting>
  <printOptions/>
  <pageMargins bottom="0.75" footer="0.0" header="0.0" left="0.7" right="0.7" top="0.75"/>
  <pageSetup orientation="portrait"/>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Worksheets</vt:lpstr>
      </vt:variant>
      <vt:variant>
        <vt:i4>7</vt:i4>
      </vt:variant>
    </vt:vector>
  </HeadingPairs>
  <TitlesOfParts>
    <vt:vector baseType="lpstr" size="7">
      <vt:lpstr>Class-2</vt:lpstr>
      <vt:lpstr>Class-3</vt:lpstr>
      <vt:lpstr>Class-4</vt:lpstr>
      <vt:lpstr>Class-5</vt:lpstr>
      <vt:lpstr>Class 6th - 8th</vt:lpstr>
      <vt:lpstr>Fast Track L-2</vt:lpstr>
      <vt:lpstr>Fast Track Level - 3</vt:lpstr>
    </vt:vector>
  </TitlesOfParts>
  <LinksUpToDate>false</LinksUpToDate>
  <SharedDoc>false</SharedDoc>
  <HyperlinksChanged>false</HyperlinksChanged>
  <Application>Microsoft Excel</Application>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2015-06-05T18:17:00Z</dcterms:created>
  <dc:creator>MUHAMMAD ANEES</dc:creator>
  <cp:lastModifiedBy>PKS User</cp:lastModifiedBy>
  <dcterms:modified xsi:type="dcterms:W3CDTF">2026-02-17T10:45:57Z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B2A7143FBBF848FAA1EF7F6C8649F111_12</vt:lpwstr>
  </property>
  <property fmtid="{D5CDD505-2E9C-101B-9397-08002B2CF9AE}" pid="3" name="KSOProductBuildVer">
    <vt:lpwstr>1033-12.2.0.16731</vt:lpwstr>
  </property>
</Properties>
</file>